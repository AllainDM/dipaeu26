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2b2\AC\Temp\"/>
    </mc:Choice>
  </mc:AlternateContent>
  <xr:revisionPtr revIDLastSave="0" documentId="8_{98510358-A952-2C48-BB89-C96921A31AED}" xr6:coauthVersionLast="47" xr6:coauthVersionMax="47" xr10:uidLastSave="{00000000-0000-0000-0000-000000000000}"/>
  <bookViews>
    <workbookView xWindow="-60" yWindow="-60" windowWidth="15480" windowHeight="11640" xr2:uid="{58052789-867F-4B5D-8895-EEA1A6092F38}"/>
  </bookViews>
  <sheets>
    <sheet name="Лист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8" i="1"/>
  <c r="E8" i="1"/>
  <c r="F7" i="1"/>
  <c r="H35" i="1"/>
  <c r="H34" i="1"/>
  <c r="H33" i="1"/>
  <c r="E4" i="1"/>
  <c r="F5" i="1"/>
  <c r="E5" i="1"/>
  <c r="F6" i="1"/>
  <c r="E6" i="1"/>
  <c r="E7" i="1"/>
  <c r="F9" i="1"/>
  <c r="E9" i="1"/>
  <c r="E10" i="1"/>
  <c r="F11" i="1"/>
  <c r="E11" i="1"/>
  <c r="F12" i="1"/>
  <c r="E12" i="1"/>
  <c r="F13" i="1"/>
  <c r="E13" i="1"/>
  <c r="F14" i="1"/>
  <c r="E14" i="1"/>
  <c r="F15" i="1"/>
  <c r="E15" i="1"/>
  <c r="F16" i="1"/>
  <c r="E16" i="1"/>
  <c r="F17" i="1"/>
  <c r="E17" i="1"/>
  <c r="C27" i="1"/>
</calcChain>
</file>

<file path=xl/sharedStrings.xml><?xml version="1.0" encoding="utf-8"?>
<sst xmlns="http://schemas.openxmlformats.org/spreadsheetml/2006/main" count="89" uniqueCount="61">
  <si>
    <t>Стрелок (Стр)</t>
  </si>
  <si>
    <t>Драгун (Др)</t>
  </si>
  <si>
    <t>Лучник (Луч)</t>
  </si>
  <si>
    <t>Мечник (ЛВ)</t>
  </si>
  <si>
    <t>Копейщик (СВ)</t>
  </si>
  <si>
    <t>Латник (ТВ)</t>
  </si>
  <si>
    <t>Верблюдерия (ВБ)</t>
  </si>
  <si>
    <t>Конный лучник (Клуч)</t>
  </si>
  <si>
    <t>Лёгкий конник (КВ)</t>
  </si>
  <si>
    <t>Тяжелый конник (ТК)</t>
  </si>
  <si>
    <t>Арбалетчик (Арб)</t>
  </si>
  <si>
    <t>Пушка (Пуш)</t>
  </si>
  <si>
    <t>Метат.машина (ММ)</t>
  </si>
  <si>
    <t>ширина</t>
  </si>
  <si>
    <t>юнит</t>
  </si>
  <si>
    <t>БО</t>
  </si>
  <si>
    <t>кол-во</t>
  </si>
  <si>
    <t>итог</t>
  </si>
  <si>
    <t>бонус</t>
  </si>
  <si>
    <t>равнина</t>
  </si>
  <si>
    <t>Боевые слоны (БС)</t>
  </si>
  <si>
    <t>степь</t>
  </si>
  <si>
    <t>холмы</t>
  </si>
  <si>
    <t>тунда</t>
  </si>
  <si>
    <t>леса</t>
  </si>
  <si>
    <t xml:space="preserve">джунгли </t>
  </si>
  <si>
    <t>болота</t>
  </si>
  <si>
    <t>пустыня</t>
  </si>
  <si>
    <t>город</t>
  </si>
  <si>
    <t>стр</t>
  </si>
  <si>
    <t>др</t>
  </si>
  <si>
    <t>луч</t>
  </si>
  <si>
    <t>лв</t>
  </si>
  <si>
    <t>св</t>
  </si>
  <si>
    <t>тв</t>
  </si>
  <si>
    <t>вб</t>
  </si>
  <si>
    <t>клуч</t>
  </si>
  <si>
    <t>кв</t>
  </si>
  <si>
    <t>тк</t>
  </si>
  <si>
    <t>арб</t>
  </si>
  <si>
    <t>пуш</t>
  </si>
  <si>
    <t>мм</t>
  </si>
  <si>
    <t>локация</t>
  </si>
  <si>
    <t>атака/оборона</t>
  </si>
  <si>
    <t>Атака</t>
  </si>
  <si>
    <t>перк командира</t>
  </si>
  <si>
    <t>нет</t>
  </si>
  <si>
    <t>скил командира</t>
  </si>
  <si>
    <t xml:space="preserve">размер города </t>
  </si>
  <si>
    <t xml:space="preserve">Бонус к ширине </t>
  </si>
  <si>
    <t>П</t>
  </si>
  <si>
    <t>атака через реку/десант</t>
  </si>
  <si>
    <t>десант</t>
  </si>
  <si>
    <t>К</t>
  </si>
  <si>
    <t>Т</t>
  </si>
  <si>
    <t>итог:</t>
  </si>
  <si>
    <t>А</t>
  </si>
  <si>
    <t>З</t>
  </si>
  <si>
    <t>Оборона</t>
  </si>
  <si>
    <t>размер</t>
  </si>
  <si>
    <t>через реку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</si>
</sst>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"/>
      <color rgb="FF00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 readingOrder="1"/>
    </xf>
    <xf numFmtId="0" fontId="1" fillId="0" borderId="2" xfId="0" applyFont="1" applyBorder="1" applyAlignment="1">
      <alignment wrapText="1" readingOrder="1"/>
    </xf>
    <xf numFmtId="0" fontId="1" fillId="2" borderId="1" xfId="0" applyFont="1" applyFill="1" applyBorder="1" applyAlignment="1">
      <alignment wrapText="1" readingOrder="1"/>
    </xf>
    <xf numFmtId="0" fontId="0" fillId="2" borderId="1" xfId="0" applyFill="1" applyBorder="1"/>
    <xf numFmtId="0" fontId="0" fillId="2" borderId="0" xfId="0" applyFill="1"/>
  </cellXfs>
  <cellStyles count="1">
    <cellStyle name="Обычный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583C7-F27E-44CB-8C67-C35EEAEEDD6B}">
  <dimension ref="B2:U39"/>
  <sheetViews>
    <sheetView tabSelected="1" workbookViewId="0">
      <selection activeCell="E24" sqref="E24"/>
    </sheetView>
  </sheetViews>
  <sheetFormatPr defaultRowHeight="15" x14ac:dyDescent="0.2"/>
  <cols>
    <col min="1" max="1" width="9.14453125" customWidth="1"/>
    <col min="2" max="2" width="18.5625" bestFit="1" customWidth="1"/>
    <col min="3" max="5" width="9.14453125" customWidth="1"/>
    <col min="6" max="6" width="9.68359375" customWidth="1"/>
    <col min="7" max="7" width="9.14453125" customWidth="1"/>
    <col min="8" max="21" width="8.609375" customWidth="1"/>
    <col min="22" max="22" width="9.14453125" customWidth="1"/>
  </cols>
  <sheetData>
    <row r="2" spans="2:21" ht="39" x14ac:dyDescent="0.2">
      <c r="H2" s="1" t="s">
        <v>0</v>
      </c>
      <c r="I2" s="1" t="s">
        <v>1</v>
      </c>
      <c r="J2" s="1" t="s">
        <v>2</v>
      </c>
      <c r="K2" s="1" t="s">
        <v>3</v>
      </c>
      <c r="L2" s="1" t="s">
        <v>4</v>
      </c>
      <c r="M2" s="1" t="s">
        <v>5</v>
      </c>
      <c r="N2" s="1" t="s">
        <v>6</v>
      </c>
      <c r="O2" s="1" t="s">
        <v>7</v>
      </c>
      <c r="P2" s="1" t="s">
        <v>8</v>
      </c>
      <c r="Q2" s="1" t="s">
        <v>9</v>
      </c>
      <c r="R2" s="1" t="s">
        <v>10</v>
      </c>
      <c r="S2" s="1" t="s">
        <v>11</v>
      </c>
      <c r="T2" s="1" t="s">
        <v>12</v>
      </c>
      <c r="U2" t="s">
        <v>13</v>
      </c>
    </row>
    <row r="3" spans="2:21" x14ac:dyDescent="0.2"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>
        <v>0</v>
      </c>
      <c r="I3">
        <v>0.5</v>
      </c>
      <c r="J3">
        <v>0.5</v>
      </c>
      <c r="K3">
        <v>0</v>
      </c>
      <c r="L3">
        <v>0.5</v>
      </c>
      <c r="M3">
        <v>0</v>
      </c>
      <c r="N3">
        <v>0</v>
      </c>
      <c r="O3">
        <v>0.5</v>
      </c>
      <c r="P3">
        <v>0.5</v>
      </c>
      <c r="Q3">
        <v>1</v>
      </c>
      <c r="R3">
        <v>0</v>
      </c>
      <c r="S3">
        <v>0.5</v>
      </c>
      <c r="T3">
        <v>0</v>
      </c>
      <c r="U3">
        <v>10</v>
      </c>
    </row>
    <row r="4" spans="2:21" x14ac:dyDescent="0.2">
      <c r="B4" s="2" t="s">
        <v>20</v>
      </c>
      <c r="C4" s="3"/>
      <c r="D4" s="4">
        <v>0</v>
      </c>
      <c r="E4">
        <f t="shared" ref="E4:E17" si="0">D4*(C4+F4)</f>
        <v>0</v>
      </c>
      <c r="G4" t="s">
        <v>21</v>
      </c>
      <c r="H4">
        <v>0</v>
      </c>
      <c r="I4">
        <v>0.5</v>
      </c>
      <c r="J4">
        <v>0.5</v>
      </c>
      <c r="K4">
        <v>0</v>
      </c>
      <c r="L4">
        <v>0</v>
      </c>
      <c r="M4">
        <v>0</v>
      </c>
      <c r="N4">
        <v>0.5</v>
      </c>
      <c r="O4">
        <v>0.5</v>
      </c>
      <c r="P4">
        <v>1</v>
      </c>
      <c r="Q4">
        <v>1</v>
      </c>
      <c r="R4">
        <v>0</v>
      </c>
      <c r="S4">
        <v>0.5</v>
      </c>
      <c r="T4">
        <v>0</v>
      </c>
      <c r="U4">
        <v>10</v>
      </c>
    </row>
    <row r="5" spans="2:21" x14ac:dyDescent="0.2">
      <c r="B5" s="2" t="s">
        <v>0</v>
      </c>
      <c r="C5" s="3"/>
      <c r="D5" s="4">
        <v>0</v>
      </c>
      <c r="E5">
        <f t="shared" si="0"/>
        <v>0</v>
      </c>
      <c r="F5">
        <f>IF($C$20=$G$30,INDEX($H$3:$T$11,MATCH($C$19,$G$3:$G$12,0),MATCH(B5,$H$2:$T$2,0)),IF($C$20=$G$31,INDEX($H$14:$T$22,MATCH($C$19,$G$14:$G$22,0),MATCH(B5,$H$2:$T$2,0)),0))</f>
        <v>0</v>
      </c>
      <c r="G5" t="s">
        <v>22</v>
      </c>
      <c r="H5">
        <v>0</v>
      </c>
      <c r="I5">
        <v>0</v>
      </c>
      <c r="J5">
        <v>0</v>
      </c>
      <c r="K5">
        <v>0</v>
      </c>
      <c r="L5">
        <v>0</v>
      </c>
      <c r="M5">
        <v>0.5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0.5</v>
      </c>
      <c r="U5">
        <v>5</v>
      </c>
    </row>
    <row r="6" spans="2:21" x14ac:dyDescent="0.2">
      <c r="B6" s="2" t="s">
        <v>1</v>
      </c>
      <c r="C6" s="3"/>
      <c r="D6" s="4">
        <v>0</v>
      </c>
      <c r="E6">
        <f t="shared" si="0"/>
        <v>0</v>
      </c>
      <c r="F6">
        <f>IF($C$20=$G$30,INDEX($H$3:$T$11,MATCH($C$19,$G$3:$G$12,0),MATCH(B6,$H$2:$T$2,0)),IF($C$20=$G$31,INDEX($H$14:$T$22,MATCH($C$19,$G$14:$G$22,0),MATCH(B6,$H$2:$T$2,0)),0))+IF($C$21=$G$25,0.1,0)</f>
        <v>0.5</v>
      </c>
      <c r="G6" t="s">
        <v>23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-2</v>
      </c>
      <c r="O6">
        <v>-1</v>
      </c>
      <c r="P6">
        <v>-1</v>
      </c>
      <c r="Q6">
        <v>-1</v>
      </c>
      <c r="R6">
        <v>0</v>
      </c>
      <c r="S6">
        <v>0</v>
      </c>
      <c r="T6">
        <v>-0.5</v>
      </c>
      <c r="U6">
        <v>5</v>
      </c>
    </row>
    <row r="7" spans="2:21" x14ac:dyDescent="0.2">
      <c r="B7" s="2" t="s">
        <v>2</v>
      </c>
      <c r="C7" s="3"/>
      <c r="D7" s="4">
        <v>0</v>
      </c>
      <c r="E7">
        <f t="shared" si="0"/>
        <v>0</v>
      </c>
      <c r="F7">
        <f>IF($C$20=$G$30,INDEX($H$3:$T$11,MATCH($C$19,$G$3:$G$12,0),MATCH(B7,$H$2:$T$2,0)),IF($C$20=$G$31,INDEX($H$14:$T$22,MATCH($C$19,$G$14:$G$22,0),MATCH(B7,$H$2:$T$2,0)),0))</f>
        <v>0</v>
      </c>
      <c r="G7" t="s">
        <v>24</v>
      </c>
      <c r="H7">
        <v>-0.5</v>
      </c>
      <c r="I7">
        <v>0</v>
      </c>
      <c r="J7">
        <v>0</v>
      </c>
      <c r="K7">
        <v>0.5</v>
      </c>
      <c r="L7">
        <v>0</v>
      </c>
      <c r="M7">
        <v>0</v>
      </c>
      <c r="N7">
        <v>-0.5</v>
      </c>
      <c r="O7">
        <v>-0.5</v>
      </c>
      <c r="P7">
        <v>-0.5</v>
      </c>
      <c r="Q7">
        <v>-0.5</v>
      </c>
      <c r="R7">
        <v>-0.5</v>
      </c>
      <c r="S7">
        <v>-1</v>
      </c>
      <c r="T7">
        <v>-1</v>
      </c>
      <c r="U7">
        <v>4</v>
      </c>
    </row>
    <row r="8" spans="2:21" x14ac:dyDescent="0.2">
      <c r="B8" s="2" t="s">
        <v>3</v>
      </c>
      <c r="C8" s="3"/>
      <c r="D8" s="4">
        <v>0</v>
      </c>
      <c r="E8">
        <f t="shared" si="0"/>
        <v>0</v>
      </c>
      <c r="F8">
        <f>IF($C$20=$G$30,INDEX($H$3:$T$11,MATCH($C$19,$G$3:$G$11,0),MATCH(B8,$H$2:$T$2,0)),IF($C$20=$G$31,INDEX($H$14:$T$22,MATCH($C$19,$G$14:$G$22,0),MATCH(B8,$H$2:$T$2,0)),0))+IF($C$21=$G$24,0.1,0)</f>
        <v>0</v>
      </c>
      <c r="G8" t="s">
        <v>25</v>
      </c>
      <c r="H8">
        <v>-0.5</v>
      </c>
      <c r="I8">
        <v>0</v>
      </c>
      <c r="J8">
        <v>0</v>
      </c>
      <c r="K8">
        <v>0</v>
      </c>
      <c r="L8">
        <v>0</v>
      </c>
      <c r="M8">
        <v>0</v>
      </c>
      <c r="N8">
        <v>-0.5</v>
      </c>
      <c r="O8">
        <v>-0.5</v>
      </c>
      <c r="P8">
        <v>-0.5</v>
      </c>
      <c r="Q8">
        <v>-0.5</v>
      </c>
      <c r="R8">
        <v>-0.5</v>
      </c>
      <c r="S8">
        <v>-1</v>
      </c>
      <c r="T8">
        <v>-1</v>
      </c>
      <c r="U8">
        <v>4</v>
      </c>
    </row>
    <row r="9" spans="2:21" x14ac:dyDescent="0.2">
      <c r="B9" s="2" t="s">
        <v>4</v>
      </c>
      <c r="C9" s="3"/>
      <c r="D9" s="4">
        <v>0</v>
      </c>
      <c r="E9">
        <f t="shared" si="0"/>
        <v>0</v>
      </c>
      <c r="F9">
        <f>IF($C$20=$G$30,INDEX($H$3:$T$11,MATCH($C$19,$G$3:$G$12,0),MATCH(B9,$H$2:$T$2,0)),IF($C$20=$G$31,INDEX($H$14:$T$22,MATCH($C$19,$G$14:$G$22,0),MATCH(B9,$H$2:$T$2,0)),0))+IF($C$21=$G$24,0.1,0)</f>
        <v>0</v>
      </c>
      <c r="G9" t="s">
        <v>26</v>
      </c>
      <c r="H9">
        <v>0</v>
      </c>
      <c r="I9">
        <v>0</v>
      </c>
      <c r="J9">
        <v>0</v>
      </c>
      <c r="K9">
        <v>0</v>
      </c>
      <c r="L9">
        <v>0.5</v>
      </c>
      <c r="M9">
        <v>-1</v>
      </c>
      <c r="N9">
        <v>-0.5</v>
      </c>
      <c r="O9">
        <v>-1</v>
      </c>
      <c r="P9">
        <v>-1</v>
      </c>
      <c r="Q9">
        <v>-1</v>
      </c>
      <c r="R9">
        <v>0</v>
      </c>
      <c r="S9">
        <v>0</v>
      </c>
      <c r="T9">
        <v>0</v>
      </c>
      <c r="U9">
        <v>3</v>
      </c>
    </row>
    <row r="10" spans="2:21" x14ac:dyDescent="0.2">
      <c r="B10" s="2" t="s">
        <v>5</v>
      </c>
      <c r="C10" s="3"/>
      <c r="D10" s="4">
        <v>0</v>
      </c>
      <c r="E10">
        <f t="shared" si="0"/>
        <v>0</v>
      </c>
      <c r="F10">
        <f>IF($C$20=$G$30,INDEX($H$3:$T$11,MATCH($C$19,$G$3:$G$11,0),MATCH(B10,$H$2:$T$2,0)),IF($C$20=$G$31,INDEX($H$14:$T$22,MATCH($C$19,$G$14:$G$22,0),MATCH(B10,$H$2:$T$2,0)),0))+IF($C$21=$G$24,0.1,0)</f>
        <v>0</v>
      </c>
      <c r="G10" t="s">
        <v>27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</v>
      </c>
    </row>
    <row r="11" spans="2:21" x14ac:dyDescent="0.2">
      <c r="B11" s="2" t="s">
        <v>6</v>
      </c>
      <c r="C11" s="3"/>
      <c r="D11" s="4">
        <v>0</v>
      </c>
      <c r="E11">
        <f t="shared" si="0"/>
        <v>0</v>
      </c>
      <c r="F11">
        <f>IF($C$20=$G$30,INDEX($H$3:$T$11,MATCH($C$19,$G$3:$G$12,0),MATCH(B11,$H$2:$T$2,0)),IF($C$20=$G$31,INDEX($H$14:$T$22,MATCH($C$19,$G$14:$G$22,0),MATCH(B11,$H$2:$T$2,0)),0))+IF($C$21=$G$25,0.1,0)</f>
        <v>0.5</v>
      </c>
      <c r="G11" t="s">
        <v>28</v>
      </c>
      <c r="H11">
        <v>0</v>
      </c>
      <c r="I11">
        <v>0</v>
      </c>
      <c r="J11">
        <v>0.5</v>
      </c>
      <c r="K11">
        <v>0.5</v>
      </c>
      <c r="L11">
        <v>0</v>
      </c>
      <c r="M11">
        <v>-0.5</v>
      </c>
      <c r="N11">
        <v>-0.5</v>
      </c>
      <c r="O11">
        <v>-0.5</v>
      </c>
      <c r="P11">
        <v>-1</v>
      </c>
      <c r="Q11">
        <v>-1</v>
      </c>
      <c r="R11">
        <v>0.5</v>
      </c>
      <c r="S11">
        <v>1</v>
      </c>
      <c r="T11">
        <v>1</v>
      </c>
    </row>
    <row r="12" spans="2:21" x14ac:dyDescent="0.2">
      <c r="B12" s="2" t="s">
        <v>7</v>
      </c>
      <c r="C12" s="3"/>
      <c r="D12" s="4">
        <v>0</v>
      </c>
      <c r="E12">
        <f t="shared" si="0"/>
        <v>0</v>
      </c>
      <c r="F12">
        <f>IF($C$20=$G$30,INDEX($H$3:$T$11,MATCH($C$19,$G$3:$G$12,0),MATCH(B12,$H$2:$T$2,0)),IF($C$20=$G$31,INDEX($H$14:$T$22,MATCH($C$19,$G$14:$G$22,0),MATCH(B12,$H$2:$T$2,0)),0))+IF($C$21=$G$25,0.1,0)</f>
        <v>0.5</v>
      </c>
    </row>
    <row r="13" spans="2:21" x14ac:dyDescent="0.2">
      <c r="B13" s="2" t="s">
        <v>8</v>
      </c>
      <c r="C13" s="3"/>
      <c r="D13" s="4">
        <v>0</v>
      </c>
      <c r="E13">
        <f t="shared" si="0"/>
        <v>0</v>
      </c>
      <c r="F13">
        <f>IF($C$20=$G$30,INDEX($H$3:$T$11,MATCH($C$19,$G$3:$G$12,0),MATCH(B13,$H$2:$T$2,0)),IF($C$20=$G$31,INDEX($H$14:$T$22,MATCH($C$19,$G$14:$G$22,0),MATCH(B13,$H$2:$T$2,0)),0))+IF($C$21=$G$25,0.1,0)</f>
        <v>-0.5</v>
      </c>
      <c r="H13" t="s">
        <v>29</v>
      </c>
      <c r="I13" t="s">
        <v>30</v>
      </c>
      <c r="J13" t="s">
        <v>31</v>
      </c>
      <c r="K13" t="s">
        <v>32</v>
      </c>
      <c r="L13" t="s">
        <v>33</v>
      </c>
      <c r="M13" t="s">
        <v>34</v>
      </c>
      <c r="N13" t="s">
        <v>35</v>
      </c>
      <c r="O13" t="s">
        <v>36</v>
      </c>
      <c r="P13" t="s">
        <v>37</v>
      </c>
      <c r="Q13" t="s">
        <v>38</v>
      </c>
      <c r="R13" t="s">
        <v>39</v>
      </c>
      <c r="S13" t="s">
        <v>40</v>
      </c>
      <c r="T13" t="s">
        <v>41</v>
      </c>
    </row>
    <row r="14" spans="2:21" x14ac:dyDescent="0.2">
      <c r="B14" s="2" t="s">
        <v>9</v>
      </c>
      <c r="C14" s="3"/>
      <c r="D14" s="4">
        <v>0</v>
      </c>
      <c r="E14">
        <f t="shared" si="0"/>
        <v>0</v>
      </c>
      <c r="F14">
        <f>IF($C$20=$G$30,INDEX($H$3:$T$11,MATCH($C$19,$G$3:$G$12,0),MATCH(B14,$H$2:$T$2,0)),IF($C$20=$G$31,INDEX($H$14:$T$22,MATCH($C$19,$G$14:$G$22,0),MATCH(B14,$H$2:$T$2,0)),0))+IF($C$21=$G$25,0.1,0)</f>
        <v>-0.5</v>
      </c>
      <c r="G14" t="s">
        <v>19</v>
      </c>
      <c r="H14">
        <v>0</v>
      </c>
      <c r="I14">
        <v>0.5</v>
      </c>
      <c r="J14">
        <v>0.5</v>
      </c>
      <c r="K14">
        <v>0</v>
      </c>
      <c r="L14">
        <v>1</v>
      </c>
      <c r="M14">
        <v>0</v>
      </c>
      <c r="N14">
        <v>0</v>
      </c>
      <c r="O14">
        <v>0.5</v>
      </c>
      <c r="P14">
        <v>-0.5</v>
      </c>
      <c r="Q14">
        <v>-0.5</v>
      </c>
      <c r="R14">
        <v>0</v>
      </c>
      <c r="S14">
        <v>0.5</v>
      </c>
      <c r="T14">
        <v>0</v>
      </c>
    </row>
    <row r="15" spans="2:21" x14ac:dyDescent="0.2">
      <c r="B15" s="2" t="s">
        <v>10</v>
      </c>
      <c r="C15" s="3"/>
      <c r="D15" s="4">
        <v>0</v>
      </c>
      <c r="E15">
        <f t="shared" si="0"/>
        <v>0</v>
      </c>
      <c r="F15">
        <f>IF($C$20=$G$30,INDEX($H$3:$T$11,MATCH($C$19,$G$3:$G$12,0),MATCH(B15,$H$2:$T$2,0)),IF($C$20=$G$31,INDEX($H$14:$T$22,MATCH($C$19,$G$14:$G$22,0),MATCH(B15,$H$2:$T$2,0)),0))</f>
        <v>0</v>
      </c>
      <c r="G15" t="s">
        <v>21</v>
      </c>
      <c r="H15">
        <v>0</v>
      </c>
      <c r="I15">
        <v>0.5</v>
      </c>
      <c r="J15">
        <v>0</v>
      </c>
      <c r="K15">
        <v>0</v>
      </c>
      <c r="L15">
        <v>0</v>
      </c>
      <c r="M15">
        <v>0</v>
      </c>
      <c r="N15">
        <v>0.5</v>
      </c>
      <c r="O15">
        <v>0.5</v>
      </c>
      <c r="P15">
        <v>-0.5</v>
      </c>
      <c r="Q15">
        <v>-0.5</v>
      </c>
      <c r="R15">
        <v>0</v>
      </c>
      <c r="S15">
        <v>0.5</v>
      </c>
      <c r="T15">
        <v>0</v>
      </c>
    </row>
    <row r="16" spans="2:21" x14ac:dyDescent="0.2">
      <c r="B16" s="2" t="s">
        <v>11</v>
      </c>
      <c r="C16" s="3"/>
      <c r="D16" s="4">
        <v>0</v>
      </c>
      <c r="E16">
        <f t="shared" si="0"/>
        <v>0</v>
      </c>
      <c r="F16">
        <f>IF($C$20=$G$30,INDEX($H$3:$T$11,MATCH($C$19,$G$3:$G$12,0),MATCH(B16,$H$2:$T$2,0)),IF($C$20=$G$31,INDEX($H$14:$T$22,MATCH($C$19,$G$14:$G$22,0),MATCH(B16,$H$2:$T$2,0)),0))</f>
        <v>0.5</v>
      </c>
      <c r="G16" t="s">
        <v>22</v>
      </c>
      <c r="H16">
        <v>0</v>
      </c>
      <c r="I16">
        <v>0</v>
      </c>
      <c r="J16">
        <v>0.5</v>
      </c>
      <c r="K16">
        <v>0</v>
      </c>
      <c r="L16">
        <v>0.5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0.5</v>
      </c>
    </row>
    <row r="17" spans="2:20" x14ac:dyDescent="0.2">
      <c r="B17" s="2" t="s">
        <v>12</v>
      </c>
      <c r="C17" s="3"/>
      <c r="D17" s="4">
        <v>0</v>
      </c>
      <c r="E17">
        <f t="shared" si="0"/>
        <v>0</v>
      </c>
      <c r="F17">
        <f>IF($C$20=$G$30,INDEX($H$3:$T$11,MATCH($C$19,$G$3:$G$12,0),MATCH(B17,$H$2:$T$2,0)),IF($C$20=$G$31,INDEX($H$14:$T$22,MATCH($C$19,$G$14:$G$22,0),MATCH(B17,$H$2:$T$2,0)),0))</f>
        <v>0</v>
      </c>
      <c r="G17" t="s">
        <v>23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-2</v>
      </c>
      <c r="O17">
        <v>-1</v>
      </c>
      <c r="P17">
        <v>-1</v>
      </c>
      <c r="Q17">
        <v>-1</v>
      </c>
      <c r="R17">
        <v>0</v>
      </c>
      <c r="S17">
        <v>0</v>
      </c>
      <c r="T17">
        <v>-0.5</v>
      </c>
    </row>
    <row r="18" spans="2:20" x14ac:dyDescent="0.2">
      <c r="G18" t="s">
        <v>24</v>
      </c>
      <c r="H18">
        <v>-0.5</v>
      </c>
      <c r="I18">
        <v>0.5</v>
      </c>
      <c r="J18">
        <v>0</v>
      </c>
      <c r="K18">
        <v>0</v>
      </c>
      <c r="L18">
        <v>0</v>
      </c>
      <c r="M18">
        <v>0</v>
      </c>
      <c r="N18">
        <v>-0.5</v>
      </c>
      <c r="O18">
        <v>-1</v>
      </c>
      <c r="P18">
        <v>-1</v>
      </c>
      <c r="Q18">
        <v>-1</v>
      </c>
      <c r="R18">
        <v>-0.5</v>
      </c>
      <c r="S18">
        <v>-1</v>
      </c>
      <c r="T18">
        <v>-1</v>
      </c>
    </row>
    <row r="19" spans="2:20" x14ac:dyDescent="0.2">
      <c r="B19" t="s">
        <v>42</v>
      </c>
      <c r="C19" s="4" t="s">
        <v>21</v>
      </c>
      <c r="G19" t="s">
        <v>25</v>
      </c>
      <c r="H19">
        <v>-0.5</v>
      </c>
      <c r="I19">
        <v>0.5</v>
      </c>
      <c r="J19">
        <v>0.5</v>
      </c>
      <c r="K19">
        <v>0</v>
      </c>
      <c r="L19">
        <v>0</v>
      </c>
      <c r="M19">
        <v>0</v>
      </c>
      <c r="N19">
        <v>-0.5</v>
      </c>
      <c r="O19">
        <v>-1</v>
      </c>
      <c r="P19">
        <v>-1</v>
      </c>
      <c r="Q19">
        <v>-1</v>
      </c>
      <c r="R19">
        <v>-0.5</v>
      </c>
      <c r="S19">
        <v>-1</v>
      </c>
      <c r="T19">
        <v>-1</v>
      </c>
    </row>
    <row r="20" spans="2:20" x14ac:dyDescent="0.2">
      <c r="B20" t="s">
        <v>43</v>
      </c>
      <c r="C20" s="4" t="s">
        <v>58</v>
      </c>
      <c r="G20" t="s">
        <v>26</v>
      </c>
      <c r="H20">
        <v>0</v>
      </c>
      <c r="I20">
        <v>0.5</v>
      </c>
      <c r="J20">
        <v>0</v>
      </c>
      <c r="K20">
        <v>0</v>
      </c>
      <c r="L20">
        <v>0</v>
      </c>
      <c r="M20">
        <v>-1</v>
      </c>
      <c r="N20">
        <v>-0.5</v>
      </c>
      <c r="O20">
        <v>-1</v>
      </c>
      <c r="P20">
        <v>-1</v>
      </c>
      <c r="Q20">
        <v>-1</v>
      </c>
      <c r="R20">
        <v>0</v>
      </c>
      <c r="S20">
        <v>0</v>
      </c>
      <c r="T20">
        <v>-0.5</v>
      </c>
    </row>
    <row r="21" spans="2:20" x14ac:dyDescent="0.2">
      <c r="B21" t="s">
        <v>45</v>
      </c>
      <c r="C21" s="4"/>
      <c r="G21" t="s">
        <v>27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-0.5</v>
      </c>
      <c r="Q21">
        <v>-0.5</v>
      </c>
      <c r="R21">
        <v>0</v>
      </c>
      <c r="S21">
        <v>0</v>
      </c>
      <c r="T21">
        <v>0</v>
      </c>
    </row>
    <row r="22" spans="2:20" x14ac:dyDescent="0.2">
      <c r="B22" t="s">
        <v>47</v>
      </c>
      <c r="C22" s="4">
        <v>0</v>
      </c>
      <c r="G22" t="s">
        <v>28</v>
      </c>
      <c r="H22">
        <v>0.5</v>
      </c>
      <c r="I22">
        <v>0.5</v>
      </c>
      <c r="J22">
        <v>1</v>
      </c>
      <c r="K22">
        <v>-0.5</v>
      </c>
      <c r="L22">
        <v>0.5</v>
      </c>
      <c r="M22">
        <v>0.5</v>
      </c>
      <c r="N22">
        <v>-0.5</v>
      </c>
      <c r="O22">
        <v>-1</v>
      </c>
      <c r="P22">
        <v>-1.5</v>
      </c>
      <c r="Q22">
        <v>-1.5</v>
      </c>
      <c r="R22">
        <v>0.5</v>
      </c>
      <c r="S22">
        <v>0</v>
      </c>
      <c r="T22">
        <v>0</v>
      </c>
    </row>
    <row r="23" spans="2:20" x14ac:dyDescent="0.2">
      <c r="B23" t="s">
        <v>48</v>
      </c>
      <c r="C23" s="4">
        <v>0</v>
      </c>
    </row>
    <row r="24" spans="2:20" x14ac:dyDescent="0.2">
      <c r="B24" t="s">
        <v>49</v>
      </c>
      <c r="C24" s="4">
        <v>0</v>
      </c>
      <c r="G24" t="s">
        <v>50</v>
      </c>
    </row>
    <row r="25" spans="2:20" x14ac:dyDescent="0.2">
      <c r="B25" t="s">
        <v>51</v>
      </c>
      <c r="C25" s="5" t="s">
        <v>46</v>
      </c>
      <c r="G25" t="s">
        <v>53</v>
      </c>
    </row>
    <row r="26" spans="2:20" x14ac:dyDescent="0.2">
      <c r="G26" t="s">
        <v>54</v>
      </c>
    </row>
    <row r="27" spans="2:20" x14ac:dyDescent="0.2">
      <c r="B27" t="s">
        <v>55</v>
      </c>
      <c r="C27" t="e">
        <f>SUM(E4:E17)*(1+H33)+(IF(C20=G31,IF(OR(C19=G5,C19=G7),1,IF(C19=G8,2,IF(C19=G9,3,0))),0))</f>
        <v>#DIV/0!</v>
      </c>
      <c r="G27" t="s">
        <v>56</v>
      </c>
    </row>
    <row r="28" spans="2:20" x14ac:dyDescent="0.2">
      <c r="G28" t="s">
        <v>57</v>
      </c>
    </row>
    <row r="29" spans="2:20" x14ac:dyDescent="0.2">
      <c r="G29" t="s">
        <v>46</v>
      </c>
    </row>
    <row r="30" spans="2:20" x14ac:dyDescent="0.2">
      <c r="G30" t="s">
        <v>44</v>
      </c>
    </row>
    <row r="31" spans="2:20" x14ac:dyDescent="0.2">
      <c r="G31" t="s">
        <v>58</v>
      </c>
    </row>
    <row r="33" spans="7:8" x14ac:dyDescent="0.2">
      <c r="G33" t="s">
        <v>18</v>
      </c>
      <c r="H33" t="e">
        <f>IF(C22=0,-5%,C22*5%)+IF(AND(C20=G30,C21=G27),10%,IF(AND(C20=G31,C21=G28),10%,0))-IF(H35&gt;H34,(H35-H34)*10%,0)+IF(AND(SUM(D5,D6,D7,D12,D15,D16,D17)/H35&gt;30%,SUM(D4,D6,D11,D12,D13,D14)/H35&gt;30%,SUM(D8,D9,D10)/H35&gt;30%),15%,0)+IF(C20=G30,IF(C25=G37,-10%,IF(C25=G38,IF(OR(C19=G9,C19=G11),-30%,IF(OR(C19=G5,C19=G6,C19=G7,C19=G8),-20%,-10%)),0)),0)</f>
        <v>#DIV/0!</v>
      </c>
    </row>
    <row r="34" spans="7:8" x14ac:dyDescent="0.2">
      <c r="G34" t="s">
        <v>13</v>
      </c>
      <c r="H34">
        <f>IF(C19=G11,IF(C20=G30,C23*2,C23),INDEX(U3:U10,MATCH(C19,G3:G11,0),1))+C24+IF(C21=G26,1,0)</f>
        <v>10</v>
      </c>
    </row>
    <row r="35" spans="7:8" x14ac:dyDescent="0.2">
      <c r="G35" t="s">
        <v>59</v>
      </c>
      <c r="H35">
        <f>SUM(D4:D17)</f>
        <v>0</v>
      </c>
    </row>
    <row r="37" spans="7:8" x14ac:dyDescent="0.2">
      <c r="G37" t="s">
        <v>60</v>
      </c>
    </row>
    <row r="38" spans="7:8" x14ac:dyDescent="0.2">
      <c r="G38" t="s">
        <v>52</v>
      </c>
    </row>
    <row r="39" spans="7:8" x14ac:dyDescent="0.2">
      <c r="G39" t="s">
        <v>46</v>
      </c>
    </row>
  </sheetData>
  <dataValidations count="4">
    <dataValidation type="list" allowBlank="1" showInputMessage="1" showErrorMessage="1" sqref="C19" xr:uid="{6FEE78CA-99BA-4E2A-8B43-DE9EF36E647A}">
      <formula1>$G$3:$G$11</formula1>
    </dataValidation>
    <dataValidation type="list" allowBlank="1" showInputMessage="1" showErrorMessage="1" sqref="C20" xr:uid="{8574975B-C7C4-4CE0-9CB5-AB2A6E869ADA}">
      <formula1>$G$30:$G$31</formula1>
    </dataValidation>
    <dataValidation type="list" allowBlank="1" showInputMessage="1" showErrorMessage="1" sqref="C21" xr:uid="{FF3F5D98-D95A-4005-A8F5-B5ACFF98E58E}">
      <formula1>$G$24:$G$29</formula1>
    </dataValidation>
    <dataValidation type="list" allowBlank="1" showInputMessage="1" showErrorMessage="1" sqref="C25" xr:uid="{11CFF1A9-BBEE-4C08-A91A-824AC91EC1CA}">
      <formula1>$G$37:$G$39</formula1>
    </dataValidation>
  </dataValidations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limbo948@gmail.com</dc:creator>
  <dc:description/>
  <cp:lastModifiedBy>X</cp:lastModifiedBy>
  <dcterms:created xsi:type="dcterms:W3CDTF">2025-02-07T18:29:35Z</dcterms:created>
  <dcterms:modified xsi:type="dcterms:W3CDTF">2025-02-18T16:05:18Z</dcterms:modified>
</cp:coreProperties>
</file>