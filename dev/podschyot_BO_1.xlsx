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ma\Desktop\гегемония\своя игра\"/>
    </mc:Choice>
  </mc:AlternateContent>
  <bookViews>
    <workbookView xWindow="0" yWindow="0" windowWidth="28800" windowHeight="12330" activeTab="1"/>
  </bookViews>
  <sheets>
    <sheet name="ИНСТРУКЦИЯ" sheetId="2" r:id="rId1"/>
    <sheet name="Считалка БО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" i="1" l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L21" i="1"/>
  <c r="F18" i="1" l="1"/>
  <c r="AR5" i="1" l="1"/>
  <c r="AR4" i="1"/>
  <c r="AR3" i="1"/>
  <c r="AP3" i="1"/>
  <c r="H1" i="1"/>
  <c r="F13" i="1"/>
  <c r="AN3" i="1"/>
  <c r="L3" i="1"/>
  <c r="AM3" i="1"/>
  <c r="F4" i="1" l="1"/>
  <c r="AJ4" i="1" s="1"/>
  <c r="F3" i="1"/>
  <c r="AJ3" i="1" s="1"/>
  <c r="F14" i="1"/>
  <c r="AJ14" i="1" s="1"/>
  <c r="AJ13" i="1"/>
  <c r="J4" i="1"/>
  <c r="J5" i="1"/>
  <c r="J6" i="1"/>
  <c r="J7" i="1"/>
  <c r="K7" i="1" s="1"/>
  <c r="J8" i="1"/>
  <c r="J9" i="1"/>
  <c r="J10" i="1"/>
  <c r="J11" i="1"/>
  <c r="J12" i="1"/>
  <c r="J13" i="1"/>
  <c r="J14" i="1"/>
  <c r="J15" i="1"/>
  <c r="J16" i="1"/>
  <c r="J17" i="1"/>
  <c r="J18" i="1"/>
  <c r="J19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AJ5" i="1"/>
  <c r="AJ6" i="1"/>
  <c r="AJ7" i="1"/>
  <c r="AJ8" i="1"/>
  <c r="AJ9" i="1"/>
  <c r="AJ10" i="1"/>
  <c r="AJ11" i="1"/>
  <c r="AJ12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I21" i="1"/>
  <c r="I22" i="1"/>
  <c r="K22" i="1" s="1"/>
  <c r="I23" i="1"/>
  <c r="I24" i="1"/>
  <c r="I25" i="1"/>
  <c r="I26" i="1"/>
  <c r="I27" i="1"/>
  <c r="I28" i="1"/>
  <c r="I29" i="1"/>
  <c r="K29" i="1" s="1"/>
  <c r="I30" i="1"/>
  <c r="K30" i="1" s="1"/>
  <c r="I31" i="1"/>
  <c r="I32" i="1"/>
  <c r="I4" i="1"/>
  <c r="I5" i="1"/>
  <c r="I6" i="1"/>
  <c r="I7" i="1"/>
  <c r="I8" i="1"/>
  <c r="I9" i="1"/>
  <c r="K9" i="1" s="1"/>
  <c r="I10" i="1"/>
  <c r="I11" i="1"/>
  <c r="I12" i="1"/>
  <c r="K12" i="1" s="1"/>
  <c r="I13" i="1"/>
  <c r="I14" i="1"/>
  <c r="I15" i="1"/>
  <c r="I16" i="1"/>
  <c r="K16" i="1" s="1"/>
  <c r="I17" i="1"/>
  <c r="I18" i="1"/>
  <c r="I19" i="1"/>
  <c r="I3" i="1"/>
  <c r="K31" i="1" l="1"/>
  <c r="K15" i="1"/>
  <c r="K23" i="1"/>
  <c r="K8" i="1"/>
  <c r="J1" i="1"/>
  <c r="K4" i="1"/>
  <c r="I1" i="1"/>
  <c r="K3" i="1"/>
  <c r="K26" i="1"/>
  <c r="K21" i="1"/>
  <c r="K19" i="1"/>
  <c r="K14" i="1"/>
  <c r="K13" i="1"/>
  <c r="K18" i="1"/>
  <c r="K25" i="1"/>
  <c r="K17" i="1"/>
  <c r="K6" i="1"/>
  <c r="K28" i="1"/>
  <c r="K11" i="1"/>
  <c r="K5" i="1"/>
  <c r="K24" i="1"/>
  <c r="K32" i="1"/>
  <c r="K10" i="1"/>
  <c r="K27" i="1"/>
  <c r="K1" i="1" l="1"/>
</calcChain>
</file>

<file path=xl/sharedStrings.xml><?xml version="1.0" encoding="utf-8"?>
<sst xmlns="http://schemas.openxmlformats.org/spreadsheetml/2006/main" count="217" uniqueCount="150">
  <si>
    <t>возм.набор</t>
  </si>
  <si>
    <t>цена</t>
  </si>
  <si>
    <t>содер</t>
  </si>
  <si>
    <t>сила</t>
  </si>
  <si>
    <t>симв</t>
  </si>
  <si>
    <t>Лучники</t>
  </si>
  <si>
    <t>Луч</t>
  </si>
  <si>
    <t>Арбалетчики</t>
  </si>
  <si>
    <t>Арб</t>
  </si>
  <si>
    <t>Мечники</t>
  </si>
  <si>
    <t>ЛВ</t>
  </si>
  <si>
    <t>Копейщики</t>
  </si>
  <si>
    <t>СВ</t>
  </si>
  <si>
    <t>Латники</t>
  </si>
  <si>
    <t>ТВ</t>
  </si>
  <si>
    <t>Стрелки</t>
  </si>
  <si>
    <t>нет</t>
  </si>
  <si>
    <t>Стр</t>
  </si>
  <si>
    <t>Пехотинцы</t>
  </si>
  <si>
    <t>Пх</t>
  </si>
  <si>
    <t>Гренадёры</t>
  </si>
  <si>
    <t>Гр</t>
  </si>
  <si>
    <t>Егеря</t>
  </si>
  <si>
    <t>Ег</t>
  </si>
  <si>
    <t>Конные лучники</t>
  </si>
  <si>
    <t>Клуч</t>
  </si>
  <si>
    <t>Легкая конница</t>
  </si>
  <si>
    <t>КВ</t>
  </si>
  <si>
    <t>Тяжелая конница</t>
  </si>
  <si>
    <t>ТК</t>
  </si>
  <si>
    <t>Рыцари</t>
  </si>
  <si>
    <t>Рц</t>
  </si>
  <si>
    <t>Драгуны</t>
  </si>
  <si>
    <t>Др</t>
  </si>
  <si>
    <t>Боевые слоны</t>
  </si>
  <si>
    <t>БС</t>
  </si>
  <si>
    <t>Метат.машины</t>
  </si>
  <si>
    <t>ММ</t>
  </si>
  <si>
    <t>Пушки</t>
  </si>
  <si>
    <t>Арт</t>
  </si>
  <si>
    <t>кол-во</t>
  </si>
  <si>
    <t>БО база</t>
  </si>
  <si>
    <t>Содержание</t>
  </si>
  <si>
    <t>Общая цена в 1 ход</t>
  </si>
  <si>
    <t>Наемники</t>
  </si>
  <si>
    <t>БО в атаке</t>
  </si>
  <si>
    <t>Равнина</t>
  </si>
  <si>
    <t>Степь</t>
  </si>
  <si>
    <t>Холмы</t>
  </si>
  <si>
    <t>Леса</t>
  </si>
  <si>
    <t>Джунгли</t>
  </si>
  <si>
    <t>Болото</t>
  </si>
  <si>
    <t>Пустыня</t>
  </si>
  <si>
    <t>Море</t>
  </si>
  <si>
    <t>Город</t>
  </si>
  <si>
    <t>Луч*</t>
  </si>
  <si>
    <t>Арб*</t>
  </si>
  <si>
    <t>ЛВ*</t>
  </si>
  <si>
    <t>СВ*</t>
  </si>
  <si>
    <t>ТВ*</t>
  </si>
  <si>
    <t>Стр*</t>
  </si>
  <si>
    <t>Пх*</t>
  </si>
  <si>
    <t>Гр*</t>
  </si>
  <si>
    <t>Ег*</t>
  </si>
  <si>
    <t>Клуч*</t>
  </si>
  <si>
    <t>КВ*</t>
  </si>
  <si>
    <t>ТК*</t>
  </si>
  <si>
    <t>Конюшня</t>
  </si>
  <si>
    <t>Стрельбище</t>
  </si>
  <si>
    <t>Технические</t>
  </si>
  <si>
    <t>Бо на каждый тип юнитов</t>
  </si>
  <si>
    <t>Здания</t>
  </si>
  <si>
    <t>Скилл Полководца</t>
  </si>
  <si>
    <t>Перки полководца</t>
  </si>
  <si>
    <t>технологии</t>
  </si>
  <si>
    <r>
      <t xml:space="preserve">мастер </t>
    </r>
    <r>
      <rPr>
        <sz val="11"/>
        <color rgb="FFFF0000"/>
        <rFont val="Calibri"/>
        <family val="2"/>
        <charset val="204"/>
        <scheme val="minor"/>
      </rPr>
      <t>О</t>
    </r>
    <r>
      <rPr>
        <sz val="11"/>
        <color theme="1"/>
        <rFont val="Calibri"/>
        <family val="2"/>
        <charset val="204"/>
        <scheme val="minor"/>
      </rPr>
      <t>бороны</t>
    </r>
  </si>
  <si>
    <r>
      <rPr>
        <sz val="11"/>
        <color rgb="FFFF0000"/>
        <rFont val="Calibri"/>
        <family val="2"/>
        <charset val="204"/>
        <scheme val="minor"/>
      </rPr>
      <t>Р</t>
    </r>
    <r>
      <rPr>
        <sz val="11"/>
        <color theme="1"/>
        <rFont val="Calibri"/>
        <family val="2"/>
        <charset val="204"/>
        <scheme val="minor"/>
      </rPr>
      <t>екрутер</t>
    </r>
  </si>
  <si>
    <r>
      <rPr>
        <sz val="11"/>
        <color rgb="FFFF0000"/>
        <rFont val="Calibri"/>
        <family val="2"/>
        <charset val="204"/>
        <scheme val="minor"/>
      </rPr>
      <t>С</t>
    </r>
    <r>
      <rPr>
        <sz val="11"/>
        <color theme="1"/>
        <rFont val="Calibri"/>
        <family val="2"/>
        <charset val="204"/>
        <scheme val="minor"/>
      </rPr>
      <t>тратег</t>
    </r>
  </si>
  <si>
    <r>
      <t>мастер</t>
    </r>
    <r>
      <rPr>
        <sz val="11"/>
        <color rgb="FFFF0000"/>
        <rFont val="Calibri"/>
        <family val="2"/>
        <charset val="204"/>
        <scheme val="minor"/>
      </rPr>
      <t xml:space="preserve"> Л</t>
    </r>
    <r>
      <rPr>
        <sz val="11"/>
        <color theme="1"/>
        <rFont val="Calibri"/>
        <family val="2"/>
        <charset val="204"/>
        <scheme val="minor"/>
      </rPr>
      <t>огистики</t>
    </r>
  </si>
  <si>
    <r>
      <rPr>
        <sz val="11"/>
        <color rgb="FFFF0000"/>
        <rFont val="Calibri"/>
        <family val="2"/>
        <charset val="204"/>
        <scheme val="minor"/>
      </rPr>
      <t>Т</t>
    </r>
    <r>
      <rPr>
        <sz val="11"/>
        <color theme="1"/>
        <rFont val="Calibri"/>
        <family val="2"/>
        <charset val="204"/>
        <scheme val="minor"/>
      </rPr>
      <t>актик</t>
    </r>
  </si>
  <si>
    <r>
      <rPr>
        <sz val="11"/>
        <color rgb="FFFF0000"/>
        <rFont val="Calibri"/>
        <family val="2"/>
        <charset val="204"/>
        <scheme val="minor"/>
      </rPr>
      <t>К</t>
    </r>
    <r>
      <rPr>
        <sz val="11"/>
        <color theme="1"/>
        <rFont val="Calibri"/>
        <family val="2"/>
        <charset val="204"/>
        <scheme val="minor"/>
      </rPr>
      <t>авалерист</t>
    </r>
  </si>
  <si>
    <r>
      <rPr>
        <sz val="11"/>
        <color rgb="FFFF0000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charset val="204"/>
        <scheme val="minor"/>
      </rPr>
      <t>ртиллерист</t>
    </r>
  </si>
  <si>
    <r>
      <rPr>
        <sz val="11"/>
        <color rgb="FFFF0000"/>
        <rFont val="Calibri"/>
        <family val="2"/>
        <charset val="204"/>
        <scheme val="minor"/>
      </rPr>
      <t>З</t>
    </r>
    <r>
      <rPr>
        <sz val="11"/>
        <color theme="1"/>
        <rFont val="Calibri"/>
        <family val="2"/>
        <charset val="204"/>
        <scheme val="minor"/>
      </rPr>
      <t>ахвачтик</t>
    </r>
  </si>
  <si>
    <r>
      <t xml:space="preserve">мастер </t>
    </r>
    <r>
      <rPr>
        <sz val="11"/>
        <color rgb="FFFF0000"/>
        <rFont val="Calibri"/>
        <family val="2"/>
        <charset val="204"/>
        <scheme val="minor"/>
      </rPr>
      <t>М</t>
    </r>
    <r>
      <rPr>
        <sz val="11"/>
        <color theme="1"/>
        <rFont val="Calibri"/>
        <family val="2"/>
        <charset val="204"/>
        <scheme val="minor"/>
      </rPr>
      <t>аневра</t>
    </r>
  </si>
  <si>
    <t>Защитные постройки</t>
  </si>
  <si>
    <t>Частокол</t>
  </si>
  <si>
    <t>Кам стена</t>
  </si>
  <si>
    <t>Крепость</t>
  </si>
  <si>
    <t>Замок</t>
  </si>
  <si>
    <t>Название</t>
  </si>
  <si>
    <t>Стоимость</t>
  </si>
  <si>
    <t>содерж</t>
  </si>
  <si>
    <t>БО</t>
  </si>
  <si>
    <t>Сила фортиф построек</t>
  </si>
  <si>
    <r>
      <rPr>
        <sz val="11"/>
        <color rgb="FFFF0000"/>
        <rFont val="Calibri"/>
        <family val="2"/>
        <charset val="204"/>
        <scheme val="minor"/>
      </rPr>
      <t>Х</t>
    </r>
    <r>
      <rPr>
        <sz val="11"/>
        <color theme="1"/>
        <rFont val="Calibri"/>
        <family val="2"/>
        <charset val="204"/>
        <scheme val="minor"/>
      </rPr>
      <t>рабрый(правитель полководец)</t>
    </r>
  </si>
  <si>
    <t>БО в защите</t>
  </si>
  <si>
    <t>Дер стена</t>
  </si>
  <si>
    <t>Всего юнитов</t>
  </si>
  <si>
    <t>Комбо-бонус</t>
  </si>
  <si>
    <r>
      <t>Всего</t>
    </r>
    <r>
      <rPr>
        <sz val="11"/>
        <color theme="1"/>
        <rFont val="Calibri"/>
        <family val="2"/>
        <charset val="204"/>
      </rPr>
      <t>−−−−−−−→</t>
    </r>
  </si>
  <si>
    <t>Ландшафтные особенности</t>
  </si>
  <si>
    <t>атака через реку</t>
  </si>
  <si>
    <t>морской десант</t>
  </si>
  <si>
    <t>Атака через реку</t>
  </si>
  <si>
    <t xml:space="preserve"> Болото/Город</t>
  </si>
  <si>
    <t>Холмы/тундра/леса/джунгли</t>
  </si>
  <si>
    <t>остальное</t>
  </si>
  <si>
    <t>Осадные орудия</t>
  </si>
  <si>
    <t>Тактики</t>
  </si>
  <si>
    <t>Стена щитов</t>
  </si>
  <si>
    <t>Полчный ряд</t>
  </si>
  <si>
    <t>Шилтрон</t>
  </si>
  <si>
    <t>Баталия</t>
  </si>
  <si>
    <t>Терция</t>
  </si>
  <si>
    <t>Каре</t>
  </si>
  <si>
    <t>Линейная тактика</t>
  </si>
  <si>
    <t>Осадные башни</t>
  </si>
  <si>
    <t>Вылазки</t>
  </si>
  <si>
    <t>Живой щит</t>
  </si>
  <si>
    <t>Артподготовка</t>
  </si>
  <si>
    <t>Подкоп</t>
  </si>
  <si>
    <t>Конная артиллерия</t>
  </si>
  <si>
    <t>Редуты</t>
  </si>
  <si>
    <t>Сапёры</t>
  </si>
  <si>
    <t>Ложный отход</t>
  </si>
  <si>
    <t>Свинья</t>
  </si>
  <si>
    <t>Преследование</t>
  </si>
  <si>
    <t>Караколь</t>
  </si>
  <si>
    <t>Кавалькада</t>
  </si>
  <si>
    <t>Тактика выжженой земли</t>
  </si>
  <si>
    <t>Мародёрство</t>
  </si>
  <si>
    <t>Военная музыка</t>
  </si>
  <si>
    <t>Фуражирование</t>
  </si>
  <si>
    <t>Абордаж</t>
  </si>
  <si>
    <t>Флагман</t>
  </si>
  <si>
    <t>Брандеры</t>
  </si>
  <si>
    <t>Тактика 'роя'</t>
  </si>
  <si>
    <t>Морской десант</t>
  </si>
  <si>
    <t>Кильваторная колонна</t>
  </si>
  <si>
    <t>Таблица сделана автором DOOMchik a.k. Темнейший</t>
  </si>
  <si>
    <t>Инструкция</t>
  </si>
  <si>
    <t>Таблица будет пополнятся обращайтесь на vk.com/doomchik</t>
  </si>
  <si>
    <t>Автор партии Мельхиор vk.com/https://vk.com/id467135438</t>
  </si>
  <si>
    <t>Вводить информацию о планируемом составе армии и особенностях только в голубые ячейки.</t>
  </si>
  <si>
    <t>Для подтверждения наличия технологии/перка/здания пишите 1в соответствующей ячейке.</t>
  </si>
  <si>
    <t>Нац особенности меняйте сами в изначальных строках юнитов.</t>
  </si>
  <si>
    <t>Изменения в кавалерии изменять согласно формуле(там не сложно, разберётесь).</t>
  </si>
  <si>
    <t>Цены актуальны только для юнитов.</t>
  </si>
  <si>
    <t>Таблица сделана для партии Пангея от редакции 26.12.2020.</t>
  </si>
  <si>
    <r>
      <t xml:space="preserve">В этой таблице </t>
    </r>
    <r>
      <rPr>
        <b/>
        <u/>
        <sz val="11"/>
        <rFont val="Calibri"/>
        <family val="2"/>
        <charset val="204"/>
        <scheme val="minor"/>
      </rPr>
      <t>не учитываются НАЦ ОСОБЕННОСТИ, ШИРИНА ФРОНТА и ТАКТИКИ.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</si>
</sst>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0.5"/>
      <color theme="1"/>
      <name val="Arial Narrow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u/>
      <sz val="1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58B7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749992370372631"/>
        <bgColor indexed="64"/>
      </patternFill>
    </fill>
    <fill>
      <patternFill patternType="solid">
        <fgColor rgb="FFE95959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/>
    <xf numFmtId="0" fontId="2" fillId="2" borderId="1" xfId="0" applyFont="1" applyFill="1" applyBorder="1" applyAlignment="1"/>
    <xf numFmtId="0" fontId="2" fillId="0" borderId="0" xfId="0" applyFont="1" applyBorder="1" applyAlignment="1">
      <alignment horizontal="left" indent="1"/>
    </xf>
    <xf numFmtId="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 indent="1"/>
    </xf>
    <xf numFmtId="0" fontId="2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left" indent="1"/>
    </xf>
    <xf numFmtId="0" fontId="0" fillId="0" borderId="0" xfId="0" applyBorder="1"/>
    <xf numFmtId="0" fontId="2" fillId="8" borderId="0" xfId="0" applyFont="1" applyFill="1" applyBorder="1"/>
    <xf numFmtId="0" fontId="2" fillId="10" borderId="0" xfId="0" applyFont="1" applyFill="1" applyBorder="1"/>
    <xf numFmtId="0" fontId="2" fillId="11" borderId="0" xfId="0" applyFont="1" applyFill="1" applyBorder="1"/>
    <xf numFmtId="0" fontId="2" fillId="12" borderId="0" xfId="0" applyFont="1" applyFill="1" applyBorder="1"/>
    <xf numFmtId="0" fontId="3" fillId="4" borderId="0" xfId="0" applyFont="1" applyFill="1" applyBorder="1"/>
    <xf numFmtId="0" fontId="2" fillId="13" borderId="0" xfId="0" applyFont="1" applyFill="1" applyBorder="1"/>
    <xf numFmtId="0" fontId="2" fillId="3" borderId="0" xfId="0" applyFont="1" applyFill="1" applyBorder="1"/>
    <xf numFmtId="0" fontId="2" fillId="6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0" xfId="0" applyFill="1" applyBorder="1"/>
    <xf numFmtId="0" fontId="4" fillId="0" borderId="0" xfId="0" applyFont="1" applyBorder="1" applyAlignment="1">
      <alignment horizontal="left" indent="1"/>
    </xf>
    <xf numFmtId="0" fontId="0" fillId="0" borderId="0" xfId="0" applyNumberFormat="1" applyBorder="1"/>
    <xf numFmtId="0" fontId="0" fillId="0" borderId="0" xfId="0" applyNumberFormat="1" applyFill="1" applyBorder="1"/>
    <xf numFmtId="0" fontId="2" fillId="15" borderId="0" xfId="0" applyFont="1" applyFill="1" applyBorder="1" applyAlignment="1">
      <alignment horizontal="left" indent="1"/>
    </xf>
    <xf numFmtId="0" fontId="0" fillId="15" borderId="0" xfId="0" applyFill="1" applyBorder="1"/>
    <xf numFmtId="0" fontId="3" fillId="0" borderId="0" xfId="0" applyFont="1" applyBorder="1" applyAlignment="1">
      <alignment horizontal="left" indent="1"/>
    </xf>
    <xf numFmtId="0" fontId="0" fillId="0" borderId="0" xfId="0" applyBorder="1" applyAlignment="1"/>
    <xf numFmtId="0" fontId="0" fillId="0" borderId="9" xfId="0" applyBorder="1" applyAlignment="1"/>
    <xf numFmtId="0" fontId="0" fillId="15" borderId="9" xfId="0" applyFill="1" applyBorder="1"/>
    <xf numFmtId="0" fontId="2" fillId="0" borderId="9" xfId="0" applyNumberFormat="1" applyFont="1" applyFill="1" applyBorder="1" applyAlignment="1">
      <alignment horizontal="center"/>
    </xf>
    <xf numFmtId="0" fontId="0" fillId="0" borderId="9" xfId="0" applyBorder="1"/>
    <xf numFmtId="0" fontId="4" fillId="0" borderId="9" xfId="0" applyFont="1" applyBorder="1" applyAlignment="1">
      <alignment horizontal="left" indent="1"/>
    </xf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9" borderId="0" xfId="0" applyFill="1" applyBorder="1"/>
    <xf numFmtId="0" fontId="0" fillId="0" borderId="0" xfId="0" applyBorder="1" applyAlignment="1">
      <alignment vertical="center"/>
    </xf>
    <xf numFmtId="0" fontId="0" fillId="7" borderId="0" xfId="0" applyFill="1" applyBorder="1"/>
    <xf numFmtId="0" fontId="0" fillId="0" borderId="9" xfId="0" applyFill="1" applyBorder="1"/>
    <xf numFmtId="0" fontId="0" fillId="0" borderId="9" xfId="0" applyNumberFormat="1" applyFill="1" applyBorder="1"/>
    <xf numFmtId="0" fontId="0" fillId="0" borderId="13" xfId="0" applyBorder="1"/>
    <xf numFmtId="0" fontId="0" fillId="0" borderId="13" xfId="0" applyFill="1" applyBorder="1"/>
    <xf numFmtId="0" fontId="0" fillId="0" borderId="15" xfId="0" applyFill="1" applyBorder="1"/>
    <xf numFmtId="0" fontId="0" fillId="0" borderId="7" xfId="0" applyFill="1" applyBorder="1"/>
    <xf numFmtId="0" fontId="0" fillId="0" borderId="20" xfId="0" applyBorder="1"/>
    <xf numFmtId="0" fontId="0" fillId="0" borderId="21" xfId="0" applyBorder="1"/>
    <xf numFmtId="0" fontId="0" fillId="0" borderId="7" xfId="0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6" xfId="0" applyFill="1" applyBorder="1"/>
    <xf numFmtId="0" fontId="4" fillId="0" borderId="7" xfId="0" applyFont="1" applyFill="1" applyBorder="1" applyAlignment="1">
      <alignment horizontal="left" indent="1"/>
    </xf>
    <xf numFmtId="0" fontId="0" fillId="0" borderId="23" xfId="0" applyBorder="1"/>
    <xf numFmtId="0" fontId="0" fillId="0" borderId="12" xfId="0" applyBorder="1"/>
    <xf numFmtId="0" fontId="0" fillId="0" borderId="25" xfId="0" applyBorder="1"/>
    <xf numFmtId="0" fontId="2" fillId="2" borderId="13" xfId="0" applyFont="1" applyFill="1" applyBorder="1"/>
    <xf numFmtId="0" fontId="2" fillId="2" borderId="26" xfId="0" applyFont="1" applyFill="1" applyBorder="1"/>
    <xf numFmtId="0" fontId="3" fillId="0" borderId="17" xfId="0" applyFont="1" applyBorder="1" applyAlignment="1">
      <alignment horizontal="left" indent="1"/>
    </xf>
    <xf numFmtId="0" fontId="2" fillId="0" borderId="17" xfId="0" applyFont="1" applyBorder="1" applyAlignment="1">
      <alignment horizontal="left" indent="1"/>
    </xf>
    <xf numFmtId="0" fontId="2" fillId="0" borderId="17" xfId="0" applyFont="1" applyFill="1" applyBorder="1" applyAlignment="1">
      <alignment horizontal="left" indent="1"/>
    </xf>
    <xf numFmtId="0" fontId="3" fillId="0" borderId="17" xfId="0" applyFont="1" applyFill="1" applyBorder="1" applyAlignment="1">
      <alignment horizontal="left" indent="1"/>
    </xf>
    <xf numFmtId="0" fontId="2" fillId="7" borderId="17" xfId="0" applyFont="1" applyFill="1" applyBorder="1" applyAlignment="1">
      <alignment horizontal="left" indent="1"/>
    </xf>
    <xf numFmtId="0" fontId="2" fillId="0" borderId="27" xfId="0" applyFont="1" applyFill="1" applyBorder="1" applyAlignment="1">
      <alignment horizontal="left" indent="1"/>
    </xf>
    <xf numFmtId="0" fontId="0" fillId="0" borderId="9" xfId="0" quotePrefix="1" applyBorder="1"/>
    <xf numFmtId="0" fontId="0" fillId="0" borderId="15" xfId="0" applyBorder="1"/>
    <xf numFmtId="0" fontId="5" fillId="0" borderId="14" xfId="0" applyNumberFormat="1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0" fillId="0" borderId="16" xfId="0" applyFill="1" applyBorder="1"/>
    <xf numFmtId="0" fontId="2" fillId="0" borderId="0" xfId="0" applyFont="1" applyFill="1" applyAlignment="1">
      <alignment horizontal="left" indent="1"/>
    </xf>
    <xf numFmtId="0" fontId="2" fillId="0" borderId="0" xfId="0" applyFont="1" applyAlignment="1">
      <alignment horizontal="left" indent="1"/>
    </xf>
    <xf numFmtId="9" fontId="0" fillId="0" borderId="0" xfId="0" applyNumberFormat="1" applyBorder="1"/>
    <xf numFmtId="0" fontId="0" fillId="0" borderId="3" xfId="0" applyFill="1" applyBorder="1"/>
    <xf numFmtId="0" fontId="3" fillId="0" borderId="2" xfId="0" applyFont="1" applyFill="1" applyBorder="1" applyAlignment="1">
      <alignment horizontal="left" indent="1"/>
    </xf>
    <xf numFmtId="0" fontId="3" fillId="0" borderId="11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4" xfId="0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7" borderId="19" xfId="0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/>
    </xf>
    <xf numFmtId="0" fontId="2" fillId="9" borderId="30" xfId="0" applyFont="1" applyFill="1" applyBorder="1"/>
    <xf numFmtId="0" fontId="0" fillId="9" borderId="28" xfId="0" applyFill="1" applyBorder="1"/>
    <xf numFmtId="0" fontId="0" fillId="9" borderId="20" xfId="0" applyFill="1" applyBorder="1"/>
    <xf numFmtId="0" fontId="0" fillId="7" borderId="20" xfId="0" applyFill="1" applyBorder="1"/>
    <xf numFmtId="0" fontId="0" fillId="9" borderId="21" xfId="0" applyFill="1" applyBorder="1"/>
    <xf numFmtId="0" fontId="0" fillId="0" borderId="1" xfId="0" applyBorder="1"/>
    <xf numFmtId="0" fontId="0" fillId="0" borderId="1" xfId="0" applyFill="1" applyBorder="1"/>
    <xf numFmtId="0" fontId="0" fillId="0" borderId="30" xfId="0" applyFill="1" applyBorder="1"/>
    <xf numFmtId="0" fontId="0" fillId="9" borderId="33" xfId="0" applyFill="1" applyBorder="1"/>
    <xf numFmtId="0" fontId="0" fillId="0" borderId="34" xfId="0" applyFill="1" applyBorder="1"/>
    <xf numFmtId="0" fontId="0" fillId="0" borderId="35" xfId="0" applyFill="1" applyBorder="1"/>
    <xf numFmtId="0" fontId="0" fillId="9" borderId="31" xfId="0" applyFill="1" applyBorder="1"/>
    <xf numFmtId="0" fontId="0" fillId="9" borderId="36" xfId="0" applyFill="1" applyBorder="1" applyAlignment="1">
      <alignment horizontal="center"/>
    </xf>
    <xf numFmtId="0" fontId="0" fillId="9" borderId="29" xfId="0" applyFill="1" applyBorder="1"/>
    <xf numFmtId="0" fontId="4" fillId="0" borderId="38" xfId="0" applyFont="1" applyBorder="1" applyAlignment="1">
      <alignment horizontal="left" indent="1"/>
    </xf>
    <xf numFmtId="0" fontId="4" fillId="0" borderId="39" xfId="0" applyFont="1" applyBorder="1" applyAlignment="1">
      <alignment horizontal="left" indent="1"/>
    </xf>
    <xf numFmtId="0" fontId="0" fillId="0" borderId="18" xfId="0" applyFill="1" applyBorder="1"/>
    <xf numFmtId="0" fontId="0" fillId="0" borderId="38" xfId="0" applyFill="1" applyBorder="1"/>
    <xf numFmtId="0" fontId="0" fillId="0" borderId="39" xfId="0" applyFill="1" applyBorder="1"/>
    <xf numFmtId="0" fontId="0" fillId="0" borderId="18" xfId="0" applyBorder="1"/>
    <xf numFmtId="0" fontId="0" fillId="9" borderId="31" xfId="0" applyFill="1" applyBorder="1" applyAlignment="1">
      <alignment vertical="center"/>
    </xf>
    <xf numFmtId="0" fontId="0" fillId="9" borderId="32" xfId="0" applyFill="1" applyBorder="1" applyAlignment="1">
      <alignment vertical="center"/>
    </xf>
    <xf numFmtId="0" fontId="0" fillId="9" borderId="33" xfId="0" applyFill="1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5" borderId="5" xfId="0" applyFont="1" applyFill="1" applyBorder="1"/>
    <xf numFmtId="0" fontId="0" fillId="0" borderId="8" xfId="0" applyBorder="1" applyAlignment="1"/>
    <xf numFmtId="0" fontId="0" fillId="0" borderId="10" xfId="0" applyBorder="1" applyAlignment="1"/>
    <xf numFmtId="0" fontId="0" fillId="9" borderId="42" xfId="0" applyFill="1" applyBorder="1" applyAlignment="1">
      <alignment horizontal="center"/>
    </xf>
    <xf numFmtId="0" fontId="0" fillId="7" borderId="43" xfId="0" applyFill="1" applyBorder="1" applyAlignment="1">
      <alignment horizontal="center" vertical="center"/>
    </xf>
    <xf numFmtId="0" fontId="5" fillId="9" borderId="44" xfId="0" applyFont="1" applyFill="1" applyBorder="1" applyAlignment="1">
      <alignment vertical="center"/>
    </xf>
    <xf numFmtId="0" fontId="5" fillId="9" borderId="34" xfId="0" applyFont="1" applyFill="1" applyBorder="1" applyAlignment="1">
      <alignment vertical="center"/>
    </xf>
    <xf numFmtId="0" fontId="0" fillId="9" borderId="35" xfId="0" applyFill="1" applyBorder="1"/>
    <xf numFmtId="0" fontId="0" fillId="7" borderId="43" xfId="0" applyFill="1" applyBorder="1" applyAlignment="1">
      <alignment horizontal="center"/>
    </xf>
    <xf numFmtId="0" fontId="0" fillId="9" borderId="44" xfId="0" applyFill="1" applyBorder="1"/>
    <xf numFmtId="0" fontId="0" fillId="0" borderId="28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16" borderId="0" xfId="0" applyFont="1" applyFill="1"/>
    <xf numFmtId="0" fontId="0" fillId="0" borderId="0" xfId="0" quotePrefix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95959"/>
      <color rgb="FFCC0000"/>
      <color rgb="FF258B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4B4B4B"/>
      </a:dk1>
      <a:lt1>
        <a:sysClr val="window" lastClr="F5F5E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35" sqref="A35"/>
    </sheetView>
  </sheetViews>
  <sheetFormatPr defaultRowHeight="15" x14ac:dyDescent="0.25"/>
  <cols>
    <col min="1" max="1" width="87.85546875" customWidth="1"/>
  </cols>
  <sheetData>
    <row r="1" spans="1:1" x14ac:dyDescent="0.25">
      <c r="A1" t="s">
        <v>139</v>
      </c>
    </row>
    <row r="2" spans="1:1" x14ac:dyDescent="0.25">
      <c r="A2" t="s">
        <v>140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s="140" t="s">
        <v>149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141</v>
      </c>
    </row>
    <row r="12" spans="1:1" x14ac:dyDescent="0.25">
      <c r="A1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06"/>
  <sheetViews>
    <sheetView tabSelected="1" zoomScaleNormal="100" workbookViewId="0">
      <selection activeCell="L35" sqref="L35"/>
    </sheetView>
  </sheetViews>
  <sheetFormatPr defaultRowHeight="15" x14ac:dyDescent="0.25"/>
  <cols>
    <col min="1" max="1" width="17.140625" style="12" customWidth="1"/>
    <col min="2" max="2" width="7.85546875" style="12" customWidth="1"/>
    <col min="3" max="7" width="9.140625" style="12"/>
    <col min="8" max="8" width="7.42578125" style="40" customWidth="1"/>
    <col min="9" max="9" width="5.42578125" style="12" customWidth="1"/>
    <col min="10" max="10" width="11.42578125" style="12" customWidth="1"/>
    <col min="11" max="11" width="9.7109375" style="12" customWidth="1"/>
    <col min="12" max="12" width="17.7109375" style="12" customWidth="1"/>
    <col min="13" max="13" width="7.42578125" style="12" customWidth="1"/>
    <col min="14" max="14" width="9.140625" style="12"/>
    <col min="15" max="15" width="6.42578125" style="12" customWidth="1"/>
    <col min="16" max="31" width="9.140625" style="12"/>
    <col min="32" max="32" width="9.140625" style="12" customWidth="1"/>
    <col min="35" max="35" width="9.140625" style="12"/>
    <col min="36" max="36" width="8.85546875" style="12" customWidth="1"/>
    <col min="37" max="37" width="16.5703125" style="12" customWidth="1"/>
    <col min="38" max="38" width="15" customWidth="1"/>
  </cols>
  <sheetData>
    <row r="1" spans="1:57" ht="17.25" thickBot="1" x14ac:dyDescent="0.35">
      <c r="A1" s="60"/>
      <c r="B1" s="37"/>
      <c r="C1" s="89" t="s">
        <v>99</v>
      </c>
      <c r="D1" s="89"/>
      <c r="E1" s="89"/>
      <c r="F1" s="89"/>
      <c r="G1" s="89"/>
      <c r="H1" s="38">
        <f t="shared" ref="H1:J1" si="0">SUM(H3:H19,H21:H32)</f>
        <v>7.5</v>
      </c>
      <c r="I1" s="38">
        <f t="shared" si="0"/>
        <v>51</v>
      </c>
      <c r="J1" s="38">
        <f t="shared" si="0"/>
        <v>9</v>
      </c>
      <c r="K1" s="38">
        <f>SUM(K3:K19,K21:K32)</f>
        <v>60</v>
      </c>
      <c r="L1" s="84" t="s">
        <v>72</v>
      </c>
      <c r="M1" s="84"/>
      <c r="N1" s="90" t="s">
        <v>45</v>
      </c>
      <c r="O1" s="91"/>
      <c r="P1" s="91"/>
      <c r="Q1" s="91"/>
      <c r="R1" s="91"/>
      <c r="S1" s="91"/>
      <c r="T1" s="91"/>
      <c r="U1" s="91"/>
      <c r="V1" s="92"/>
      <c r="W1" s="90" t="s">
        <v>95</v>
      </c>
      <c r="X1" s="91"/>
      <c r="Y1" s="91"/>
      <c r="Z1" s="91"/>
      <c r="AA1" s="91"/>
      <c r="AB1" s="91"/>
      <c r="AC1" s="91"/>
      <c r="AD1" s="91"/>
      <c r="AE1" s="92"/>
      <c r="AJ1" s="122" t="s">
        <v>69</v>
      </c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4"/>
    </row>
    <row r="2" spans="1:57" ht="17.25" thickBot="1" x14ac:dyDescent="0.35">
      <c r="A2" s="61"/>
      <c r="B2" s="1" t="s">
        <v>0</v>
      </c>
      <c r="C2" s="2" t="s">
        <v>1</v>
      </c>
      <c r="D2" s="2" t="s">
        <v>2</v>
      </c>
      <c r="E2" s="3"/>
      <c r="F2" s="1" t="s">
        <v>3</v>
      </c>
      <c r="G2" s="2" t="s">
        <v>4</v>
      </c>
      <c r="H2" s="96" t="s">
        <v>40</v>
      </c>
      <c r="I2" s="2" t="s">
        <v>1</v>
      </c>
      <c r="J2" s="2" t="s">
        <v>42</v>
      </c>
      <c r="K2" s="62" t="s">
        <v>43</v>
      </c>
      <c r="L2" s="108">
        <v>4</v>
      </c>
      <c r="M2" s="128"/>
      <c r="N2" s="125" t="s">
        <v>46</v>
      </c>
      <c r="O2" s="16" t="s">
        <v>47</v>
      </c>
      <c r="P2" s="13" t="s">
        <v>48</v>
      </c>
      <c r="Q2" s="17" t="s">
        <v>49</v>
      </c>
      <c r="R2" s="15" t="s">
        <v>50</v>
      </c>
      <c r="S2" s="18" t="s">
        <v>51</v>
      </c>
      <c r="T2" s="14" t="s">
        <v>52</v>
      </c>
      <c r="U2" s="19" t="s">
        <v>53</v>
      </c>
      <c r="V2" s="20" t="s">
        <v>54</v>
      </c>
      <c r="W2" s="125" t="s">
        <v>46</v>
      </c>
      <c r="X2" s="16" t="s">
        <v>47</v>
      </c>
      <c r="Y2" s="13" t="s">
        <v>48</v>
      </c>
      <c r="Z2" s="17" t="s">
        <v>49</v>
      </c>
      <c r="AA2" s="15" t="s">
        <v>50</v>
      </c>
      <c r="AB2" s="18" t="s">
        <v>51</v>
      </c>
      <c r="AC2" s="14" t="s">
        <v>52</v>
      </c>
      <c r="AD2" s="19" t="s">
        <v>53</v>
      </c>
      <c r="AE2" s="20" t="s">
        <v>54</v>
      </c>
      <c r="AJ2" s="135" t="s">
        <v>70</v>
      </c>
      <c r="AK2" s="119" t="s">
        <v>73</v>
      </c>
      <c r="AL2" s="120"/>
      <c r="AM2" s="22" t="s">
        <v>93</v>
      </c>
      <c r="AN2" s="49" t="s">
        <v>97</v>
      </c>
      <c r="AO2" s="49" t="s">
        <v>98</v>
      </c>
      <c r="AP2" s="21" t="s">
        <v>103</v>
      </c>
      <c r="AQ2" s="88" t="s">
        <v>102</v>
      </c>
      <c r="AR2" s="121"/>
      <c r="BE2">
        <v>1</v>
      </c>
    </row>
    <row r="3" spans="1:57" ht="17.25" thickBot="1" x14ac:dyDescent="0.35">
      <c r="A3" s="63" t="s">
        <v>5</v>
      </c>
      <c r="B3" s="27">
        <v>4</v>
      </c>
      <c r="C3" s="5">
        <v>5</v>
      </c>
      <c r="D3" s="5">
        <v>1</v>
      </c>
      <c r="E3" s="6"/>
      <c r="F3" s="6">
        <f>IFERROR(ROUND(1+(IF(H36&gt;=1,0.5/(H3+H4),0)),1),1+IF(H36=1,F36,0))</f>
        <v>1</v>
      </c>
      <c r="G3" s="24" t="s">
        <v>6</v>
      </c>
      <c r="H3" s="97">
        <v>0</v>
      </c>
      <c r="I3" s="12">
        <f>H3*C3</f>
        <v>0</v>
      </c>
      <c r="J3" s="12">
        <f>D3*H3</f>
        <v>0</v>
      </c>
      <c r="K3" s="22">
        <f>I3+J3</f>
        <v>0</v>
      </c>
      <c r="L3" s="93">
        <f>100%+((L2+IF(M14=1,AL12,0))*5%)</f>
        <v>1.2</v>
      </c>
      <c r="M3" s="93"/>
      <c r="N3" s="21">
        <v>0</v>
      </c>
      <c r="O3" s="12">
        <v>0</v>
      </c>
      <c r="P3" s="12">
        <v>0</v>
      </c>
      <c r="Q3" s="23">
        <v>0.5</v>
      </c>
      <c r="R3" s="23">
        <v>0</v>
      </c>
      <c r="S3" s="23">
        <v>0</v>
      </c>
      <c r="T3" s="23">
        <v>0</v>
      </c>
      <c r="U3" s="23">
        <v>0</v>
      </c>
      <c r="V3" s="22">
        <v>0</v>
      </c>
      <c r="W3" s="21">
        <v>0</v>
      </c>
      <c r="X3" s="23">
        <v>0</v>
      </c>
      <c r="Y3" s="23">
        <v>0.5</v>
      </c>
      <c r="Z3" s="23">
        <v>0.5</v>
      </c>
      <c r="AA3" s="23">
        <v>0.5</v>
      </c>
      <c r="AB3" s="23">
        <v>0</v>
      </c>
      <c r="AC3" s="23">
        <v>0</v>
      </c>
      <c r="AD3" s="23">
        <v>0</v>
      </c>
      <c r="AE3" s="22">
        <v>1</v>
      </c>
      <c r="AJ3" s="49">
        <f t="shared" ref="AJ3:AJ32" si="1">(H3*F3)</f>
        <v>0</v>
      </c>
      <c r="AK3" s="45" t="s">
        <v>75</v>
      </c>
      <c r="AL3" s="71">
        <v>1.25</v>
      </c>
      <c r="AM3" s="36">
        <f>0+IF(I39=1,H39,0)+IF(I40=1,H40,0)+IF(I41=1,H41,0)+IF(I42=1,H42,0)+IF(I43=1,H43,0)</f>
        <v>0</v>
      </c>
      <c r="AN3" s="50">
        <f>SUM(H3:H19,H21:H32)</f>
        <v>7.5</v>
      </c>
      <c r="AO3" s="50">
        <f>IF(($H5+$H6+$H7+$H9+$H23+$H24+$H25+$H27)/$AN3&gt;=0.3,IF(($H3+$H4+$H8+$H12+$H21+$H22+$H26+$H30)/$AN3&gt;=0.3,IF(($H12+$H13+$H14+$H15+$H16+$H17+$H30+$H31+$H32)/$AN3&gt;=0.3,1.33,1),1),1)</f>
        <v>1</v>
      </c>
      <c r="AP3" s="39">
        <f>IF(M16=1,0.9,1)</f>
        <v>1</v>
      </c>
      <c r="AQ3" s="21" t="s">
        <v>104</v>
      </c>
      <c r="AR3" s="22">
        <f>IF(M17=1,0.7,1)</f>
        <v>1</v>
      </c>
    </row>
    <row r="4" spans="1:57" ht="17.25" thickBot="1" x14ac:dyDescent="0.35">
      <c r="A4" s="63" t="s">
        <v>7</v>
      </c>
      <c r="B4" s="27">
        <v>4</v>
      </c>
      <c r="C4" s="95">
        <v>7</v>
      </c>
      <c r="D4" s="5">
        <v>1.5</v>
      </c>
      <c r="E4" s="6"/>
      <c r="F4" s="6">
        <f>IFERROR(ROUND(1.5+(IF(H36&gt;=1,0.5/(H3+H4),0)),1),1.5+IF(H36=1,F36,0))</f>
        <v>1.5</v>
      </c>
      <c r="G4" s="24" t="s">
        <v>8</v>
      </c>
      <c r="H4" s="98">
        <v>0</v>
      </c>
      <c r="I4" s="12">
        <f t="shared" ref="I4:I19" si="2">H4*C4</f>
        <v>0</v>
      </c>
      <c r="J4" s="12">
        <f t="shared" ref="J4:J32" si="3">D4*H4</f>
        <v>0</v>
      </c>
      <c r="K4" s="22">
        <f t="shared" ref="K4:K19" si="4">I4+J4</f>
        <v>0</v>
      </c>
      <c r="L4" s="94" t="s">
        <v>73</v>
      </c>
      <c r="M4" s="129"/>
      <c r="N4" s="21">
        <v>0</v>
      </c>
      <c r="O4" s="12">
        <v>0</v>
      </c>
      <c r="P4" s="12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2">
        <v>1</v>
      </c>
      <c r="W4" s="21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2">
        <v>0</v>
      </c>
      <c r="AJ4" s="49">
        <f t="shared" si="1"/>
        <v>0</v>
      </c>
      <c r="AK4" s="45" t="s">
        <v>76</v>
      </c>
      <c r="AL4" s="72"/>
      <c r="AQ4" s="21" t="s">
        <v>105</v>
      </c>
      <c r="AR4" s="22">
        <f>IF(M17=1,0.8,1)</f>
        <v>1</v>
      </c>
    </row>
    <row r="5" spans="1:57" ht="17.25" thickBot="1" x14ac:dyDescent="0.35">
      <c r="A5" s="63" t="s">
        <v>9</v>
      </c>
      <c r="B5" s="27">
        <v>5</v>
      </c>
      <c r="C5" s="5">
        <v>7</v>
      </c>
      <c r="D5" s="5">
        <v>1</v>
      </c>
      <c r="E5" s="6"/>
      <c r="F5" s="6">
        <v>1</v>
      </c>
      <c r="G5" s="24" t="s">
        <v>10</v>
      </c>
      <c r="H5" s="98">
        <v>0</v>
      </c>
      <c r="I5" s="12">
        <f t="shared" si="2"/>
        <v>0</v>
      </c>
      <c r="J5" s="12">
        <f t="shared" si="3"/>
        <v>0</v>
      </c>
      <c r="K5" s="22">
        <f t="shared" si="4"/>
        <v>0</v>
      </c>
      <c r="L5" s="101" t="s">
        <v>75</v>
      </c>
      <c r="M5" s="130">
        <v>0</v>
      </c>
      <c r="N5" s="21">
        <v>0</v>
      </c>
      <c r="O5" s="12">
        <v>0</v>
      </c>
      <c r="P5" s="12">
        <v>0</v>
      </c>
      <c r="Q5" s="23">
        <v>0</v>
      </c>
      <c r="R5" s="23">
        <v>0</v>
      </c>
      <c r="S5" s="23">
        <v>0</v>
      </c>
      <c r="T5" s="23">
        <v>0</v>
      </c>
      <c r="U5" s="23">
        <v>-1</v>
      </c>
      <c r="V5" s="22">
        <v>0.5</v>
      </c>
      <c r="W5" s="21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-1</v>
      </c>
      <c r="AE5" s="22">
        <v>-0.5</v>
      </c>
      <c r="AJ5" s="49">
        <f t="shared" si="1"/>
        <v>0</v>
      </c>
      <c r="AK5" s="45" t="s">
        <v>77</v>
      </c>
      <c r="AL5" s="72">
        <v>0.9</v>
      </c>
      <c r="AQ5" s="39" t="s">
        <v>106</v>
      </c>
      <c r="AR5" s="36">
        <f>IF(M17=1,0.9,1)</f>
        <v>1</v>
      </c>
    </row>
    <row r="6" spans="1:57" ht="16.5" x14ac:dyDescent="0.3">
      <c r="A6" s="63" t="s">
        <v>11</v>
      </c>
      <c r="B6" s="27">
        <v>2</v>
      </c>
      <c r="C6" s="5">
        <v>10</v>
      </c>
      <c r="D6" s="5">
        <v>1</v>
      </c>
      <c r="E6" s="6"/>
      <c r="F6" s="6">
        <v>1</v>
      </c>
      <c r="G6" s="24" t="s">
        <v>12</v>
      </c>
      <c r="H6" s="98">
        <v>0</v>
      </c>
      <c r="I6" s="12">
        <f t="shared" si="2"/>
        <v>0</v>
      </c>
      <c r="J6" s="12">
        <f t="shared" si="3"/>
        <v>0</v>
      </c>
      <c r="K6" s="22">
        <f t="shared" si="4"/>
        <v>0</v>
      </c>
      <c r="L6" s="101" t="s">
        <v>76</v>
      </c>
      <c r="M6" s="131">
        <v>0</v>
      </c>
      <c r="N6" s="21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-1</v>
      </c>
      <c r="V6" s="22">
        <v>0</v>
      </c>
      <c r="W6" s="21">
        <v>1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-1</v>
      </c>
      <c r="AE6" s="22">
        <v>0.5</v>
      </c>
      <c r="AJ6" s="49">
        <f t="shared" si="1"/>
        <v>0</v>
      </c>
      <c r="AK6" s="46" t="s">
        <v>78</v>
      </c>
      <c r="AL6" s="72"/>
    </row>
    <row r="7" spans="1:57" ht="16.5" x14ac:dyDescent="0.3">
      <c r="A7" s="64" t="s">
        <v>13</v>
      </c>
      <c r="B7" s="27">
        <v>1</v>
      </c>
      <c r="C7" s="5">
        <v>12</v>
      </c>
      <c r="D7" s="5">
        <v>1.5</v>
      </c>
      <c r="E7" s="9"/>
      <c r="F7" s="6">
        <v>1.5</v>
      </c>
      <c r="G7" s="24" t="s">
        <v>14</v>
      </c>
      <c r="H7" s="98">
        <v>0</v>
      </c>
      <c r="I7" s="12">
        <f t="shared" si="2"/>
        <v>0</v>
      </c>
      <c r="J7" s="12">
        <f t="shared" si="3"/>
        <v>0</v>
      </c>
      <c r="K7" s="22">
        <f t="shared" si="4"/>
        <v>0</v>
      </c>
      <c r="L7" s="101" t="s">
        <v>77</v>
      </c>
      <c r="M7" s="131">
        <v>0</v>
      </c>
      <c r="N7" s="21">
        <v>0</v>
      </c>
      <c r="O7" s="23">
        <v>0</v>
      </c>
      <c r="P7" s="23">
        <v>0.5</v>
      </c>
      <c r="Q7" s="23">
        <v>0</v>
      </c>
      <c r="R7" s="23">
        <v>0</v>
      </c>
      <c r="S7" s="23">
        <v>-1</v>
      </c>
      <c r="T7" s="23">
        <v>0</v>
      </c>
      <c r="U7" s="23">
        <v>-1</v>
      </c>
      <c r="V7" s="22">
        <v>0</v>
      </c>
      <c r="W7" s="21">
        <v>0</v>
      </c>
      <c r="X7" s="23">
        <v>0</v>
      </c>
      <c r="Y7" s="23">
        <v>0</v>
      </c>
      <c r="Z7" s="23">
        <v>0</v>
      </c>
      <c r="AA7" s="23">
        <v>0</v>
      </c>
      <c r="AB7" s="23">
        <v>-1</v>
      </c>
      <c r="AC7" s="23">
        <v>0</v>
      </c>
      <c r="AD7" s="23">
        <v>-1</v>
      </c>
      <c r="AE7" s="22">
        <v>0.5</v>
      </c>
      <c r="AJ7" s="49">
        <f t="shared" si="1"/>
        <v>0</v>
      </c>
      <c r="AK7" s="46" t="s">
        <v>79</v>
      </c>
      <c r="AL7" s="72"/>
    </row>
    <row r="8" spans="1:57" ht="16.5" x14ac:dyDescent="0.3">
      <c r="A8" s="65" t="s">
        <v>15</v>
      </c>
      <c r="B8" s="27" t="s">
        <v>16</v>
      </c>
      <c r="C8" s="5">
        <v>7</v>
      </c>
      <c r="D8" s="5">
        <v>1</v>
      </c>
      <c r="E8" s="10"/>
      <c r="F8" s="6">
        <v>2</v>
      </c>
      <c r="G8" s="24" t="s">
        <v>17</v>
      </c>
      <c r="H8" s="98">
        <v>0</v>
      </c>
      <c r="I8" s="12">
        <f t="shared" si="2"/>
        <v>0</v>
      </c>
      <c r="J8" s="12">
        <f t="shared" si="3"/>
        <v>0</v>
      </c>
      <c r="K8" s="22">
        <f t="shared" si="4"/>
        <v>0</v>
      </c>
      <c r="L8" s="102" t="s">
        <v>78</v>
      </c>
      <c r="M8" s="131">
        <v>0</v>
      </c>
      <c r="N8" s="21">
        <v>0</v>
      </c>
      <c r="O8" s="23">
        <v>0</v>
      </c>
      <c r="P8" s="23">
        <v>0</v>
      </c>
      <c r="Q8" s="23">
        <v>0</v>
      </c>
      <c r="R8" s="23">
        <v>-0.5</v>
      </c>
      <c r="S8" s="12">
        <v>0</v>
      </c>
      <c r="T8" s="23">
        <v>-0.5</v>
      </c>
      <c r="U8" s="23">
        <v>-1</v>
      </c>
      <c r="V8" s="22">
        <v>0</v>
      </c>
      <c r="W8" s="21">
        <v>0</v>
      </c>
      <c r="X8" s="23">
        <v>0</v>
      </c>
      <c r="Y8" s="23">
        <v>0</v>
      </c>
      <c r="Z8" s="23">
        <v>0</v>
      </c>
      <c r="AA8" s="25">
        <v>-0.5</v>
      </c>
      <c r="AB8" s="23">
        <v>0</v>
      </c>
      <c r="AC8" s="23">
        <v>-0.5</v>
      </c>
      <c r="AD8" s="23">
        <v>-1</v>
      </c>
      <c r="AE8" s="22">
        <v>0</v>
      </c>
      <c r="AJ8" s="49">
        <f t="shared" si="1"/>
        <v>0</v>
      </c>
      <c r="AK8" s="46" t="s">
        <v>80</v>
      </c>
      <c r="AL8" s="72"/>
    </row>
    <row r="9" spans="1:57" ht="16.5" x14ac:dyDescent="0.3">
      <c r="A9" s="66" t="s">
        <v>18</v>
      </c>
      <c r="B9" s="27" t="s">
        <v>16</v>
      </c>
      <c r="C9" s="5">
        <v>10</v>
      </c>
      <c r="D9" s="5">
        <v>1</v>
      </c>
      <c r="E9" s="10"/>
      <c r="F9" s="6">
        <v>2.5</v>
      </c>
      <c r="G9" s="24" t="s">
        <v>19</v>
      </c>
      <c r="H9" s="98">
        <v>0</v>
      </c>
      <c r="I9" s="12">
        <f t="shared" si="2"/>
        <v>0</v>
      </c>
      <c r="J9" s="12">
        <f t="shared" si="3"/>
        <v>0</v>
      </c>
      <c r="K9" s="22">
        <f t="shared" si="4"/>
        <v>0</v>
      </c>
      <c r="L9" s="102" t="s">
        <v>79</v>
      </c>
      <c r="M9" s="131">
        <v>0</v>
      </c>
      <c r="N9" s="21">
        <v>0.5</v>
      </c>
      <c r="O9" s="23">
        <v>0.5</v>
      </c>
      <c r="P9" s="23">
        <v>0</v>
      </c>
      <c r="Q9" s="23">
        <v>0</v>
      </c>
      <c r="R9" s="23">
        <v>-0.5</v>
      </c>
      <c r="S9" s="23">
        <v>0</v>
      </c>
      <c r="T9" s="25">
        <v>-0.5</v>
      </c>
      <c r="U9" s="26">
        <v>-1.5</v>
      </c>
      <c r="V9" s="22">
        <v>0</v>
      </c>
      <c r="W9" s="21">
        <v>0.5</v>
      </c>
      <c r="X9" s="12">
        <v>0.5</v>
      </c>
      <c r="Y9" s="23">
        <v>0</v>
      </c>
      <c r="Z9" s="23">
        <v>0</v>
      </c>
      <c r="AA9" s="26">
        <v>-0.5</v>
      </c>
      <c r="AB9" s="26">
        <v>0</v>
      </c>
      <c r="AC9" s="26">
        <v>-0.5</v>
      </c>
      <c r="AD9" s="26">
        <v>-1.5</v>
      </c>
      <c r="AE9" s="22">
        <v>0.5</v>
      </c>
      <c r="AJ9" s="49">
        <f t="shared" si="1"/>
        <v>0</v>
      </c>
      <c r="AK9" s="46" t="s">
        <v>81</v>
      </c>
      <c r="AL9" s="72"/>
    </row>
    <row r="10" spans="1:57" ht="16.5" x14ac:dyDescent="0.3">
      <c r="A10" s="66" t="s">
        <v>20</v>
      </c>
      <c r="B10" s="27" t="s">
        <v>16</v>
      </c>
      <c r="C10" s="5">
        <v>12</v>
      </c>
      <c r="D10" s="5">
        <v>1.5</v>
      </c>
      <c r="E10" s="10"/>
      <c r="F10" s="6">
        <v>3</v>
      </c>
      <c r="G10" s="24" t="s">
        <v>21</v>
      </c>
      <c r="H10" s="98">
        <v>0</v>
      </c>
      <c r="I10" s="12">
        <f t="shared" si="2"/>
        <v>0</v>
      </c>
      <c r="J10" s="12">
        <f t="shared" si="3"/>
        <v>0</v>
      </c>
      <c r="K10" s="22">
        <f t="shared" si="4"/>
        <v>0</v>
      </c>
      <c r="L10" s="102" t="s">
        <v>80</v>
      </c>
      <c r="M10" s="131">
        <v>0</v>
      </c>
      <c r="N10" s="21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6">
        <v>0</v>
      </c>
      <c r="U10" s="26">
        <v>-2</v>
      </c>
      <c r="V10" s="22">
        <v>1</v>
      </c>
      <c r="W10" s="21">
        <v>0</v>
      </c>
      <c r="X10" s="23">
        <v>0</v>
      </c>
      <c r="Y10" s="23">
        <v>0</v>
      </c>
      <c r="Z10" s="23">
        <v>0</v>
      </c>
      <c r="AA10" s="26">
        <v>0</v>
      </c>
      <c r="AB10" s="26">
        <v>0</v>
      </c>
      <c r="AC10" s="26">
        <v>0</v>
      </c>
      <c r="AD10" s="26">
        <v>-2</v>
      </c>
      <c r="AE10" s="22">
        <v>1</v>
      </c>
      <c r="AJ10" s="49">
        <f t="shared" si="1"/>
        <v>0</v>
      </c>
      <c r="AK10" s="46" t="s">
        <v>82</v>
      </c>
      <c r="AL10" s="72"/>
    </row>
    <row r="11" spans="1:57" ht="16.5" x14ac:dyDescent="0.3">
      <c r="A11" s="66" t="s">
        <v>22</v>
      </c>
      <c r="B11" s="27" t="s">
        <v>16</v>
      </c>
      <c r="C11" s="5">
        <v>10</v>
      </c>
      <c r="D11" s="5">
        <v>1</v>
      </c>
      <c r="E11" s="10"/>
      <c r="F11" s="6">
        <v>2.5</v>
      </c>
      <c r="G11" s="24" t="s">
        <v>23</v>
      </c>
      <c r="H11" s="98">
        <v>0</v>
      </c>
      <c r="I11" s="12">
        <f t="shared" si="2"/>
        <v>0</v>
      </c>
      <c r="J11" s="12">
        <f t="shared" si="3"/>
        <v>0</v>
      </c>
      <c r="K11" s="22">
        <f t="shared" si="4"/>
        <v>0</v>
      </c>
      <c r="L11" s="102" t="s">
        <v>81</v>
      </c>
      <c r="M11" s="131">
        <v>0</v>
      </c>
      <c r="N11" s="21">
        <v>0</v>
      </c>
      <c r="O11" s="23">
        <v>0</v>
      </c>
      <c r="P11" s="23">
        <v>0</v>
      </c>
      <c r="Q11" s="23">
        <v>1</v>
      </c>
      <c r="R11" s="23">
        <v>0</v>
      </c>
      <c r="S11" s="23">
        <v>0</v>
      </c>
      <c r="T11" s="26">
        <v>0</v>
      </c>
      <c r="U11" s="26">
        <v>-2</v>
      </c>
      <c r="V11" s="22">
        <v>1</v>
      </c>
      <c r="W11" s="21">
        <v>0</v>
      </c>
      <c r="X11" s="23">
        <v>0</v>
      </c>
      <c r="Y11" s="23">
        <v>0</v>
      </c>
      <c r="Z11" s="23">
        <v>1</v>
      </c>
      <c r="AA11" s="26">
        <v>0</v>
      </c>
      <c r="AB11" s="26">
        <v>0</v>
      </c>
      <c r="AC11" s="26">
        <v>0</v>
      </c>
      <c r="AD11" s="26">
        <v>-1.5</v>
      </c>
      <c r="AE11" s="22">
        <v>0</v>
      </c>
      <c r="AJ11" s="49">
        <f t="shared" si="1"/>
        <v>0</v>
      </c>
      <c r="AK11" s="46" t="s">
        <v>83</v>
      </c>
      <c r="AL11" s="72"/>
    </row>
    <row r="12" spans="1:57" ht="17.25" thickBot="1" x14ac:dyDescent="0.35">
      <c r="A12" s="66" t="s">
        <v>24</v>
      </c>
      <c r="B12" s="27" t="s">
        <v>16</v>
      </c>
      <c r="C12" s="5">
        <v>10</v>
      </c>
      <c r="D12" s="5">
        <v>1</v>
      </c>
      <c r="E12" s="10"/>
      <c r="F12" s="6">
        <v>1.5</v>
      </c>
      <c r="G12" s="24" t="s">
        <v>25</v>
      </c>
      <c r="H12" s="98">
        <v>0</v>
      </c>
      <c r="I12" s="12">
        <f t="shared" si="2"/>
        <v>0</v>
      </c>
      <c r="J12" s="12">
        <f t="shared" si="3"/>
        <v>0</v>
      </c>
      <c r="K12" s="22">
        <f t="shared" si="4"/>
        <v>0</v>
      </c>
      <c r="L12" s="102" t="s">
        <v>82</v>
      </c>
      <c r="M12" s="131">
        <v>0</v>
      </c>
      <c r="N12" s="21">
        <v>0.5</v>
      </c>
      <c r="O12" s="12">
        <v>0.5</v>
      </c>
      <c r="P12" s="23">
        <v>0</v>
      </c>
      <c r="Q12" s="23">
        <v>-0.5</v>
      </c>
      <c r="R12" s="23">
        <v>-0.5</v>
      </c>
      <c r="S12" s="23">
        <v>-1</v>
      </c>
      <c r="T12" s="12">
        <v>0</v>
      </c>
      <c r="U12" s="26">
        <v>-1</v>
      </c>
      <c r="V12" s="22">
        <v>-0.5</v>
      </c>
      <c r="W12" s="21">
        <v>0.5</v>
      </c>
      <c r="X12" s="12">
        <v>0.5</v>
      </c>
      <c r="Y12" s="23">
        <v>0</v>
      </c>
      <c r="Z12" s="23">
        <v>-1</v>
      </c>
      <c r="AA12" s="26">
        <v>-1</v>
      </c>
      <c r="AB12" s="26">
        <v>-1</v>
      </c>
      <c r="AC12" s="12">
        <v>0</v>
      </c>
      <c r="AD12" s="26">
        <v>-1</v>
      </c>
      <c r="AE12" s="22">
        <v>-1</v>
      </c>
      <c r="AJ12" s="49">
        <f t="shared" si="1"/>
        <v>0</v>
      </c>
      <c r="AK12" s="47" t="s">
        <v>94</v>
      </c>
      <c r="AL12" s="73">
        <v>1</v>
      </c>
    </row>
    <row r="13" spans="1:57" ht="16.5" x14ac:dyDescent="0.3">
      <c r="A13" s="65" t="s">
        <v>26</v>
      </c>
      <c r="B13" s="27">
        <v>3.5</v>
      </c>
      <c r="C13" s="5">
        <v>12</v>
      </c>
      <c r="D13" s="5">
        <v>1.5</v>
      </c>
      <c r="E13" s="10"/>
      <c r="F13" s="6">
        <f>IFERROR(ROUND(2+(IF(H35&gt;=1,1/(H13+H14),0)),1),2+IF(H35=1,F35,0))</f>
        <v>2.2999999999999998</v>
      </c>
      <c r="G13" s="24" t="s">
        <v>27</v>
      </c>
      <c r="H13" s="98">
        <v>3</v>
      </c>
      <c r="I13" s="12">
        <f t="shared" si="2"/>
        <v>36</v>
      </c>
      <c r="J13" s="12">
        <f t="shared" si="3"/>
        <v>4.5</v>
      </c>
      <c r="K13" s="22">
        <f t="shared" si="4"/>
        <v>40.5</v>
      </c>
      <c r="L13" s="102" t="s">
        <v>83</v>
      </c>
      <c r="M13" s="131">
        <v>0</v>
      </c>
      <c r="N13" s="21">
        <v>0.5</v>
      </c>
      <c r="O13" s="23">
        <v>1</v>
      </c>
      <c r="P13" s="23">
        <v>0</v>
      </c>
      <c r="Q13" s="23">
        <v>-0.5</v>
      </c>
      <c r="R13" s="23">
        <v>-0.5</v>
      </c>
      <c r="S13" s="23">
        <v>-1</v>
      </c>
      <c r="T13" s="23">
        <v>0</v>
      </c>
      <c r="U13" s="26">
        <v>-1.5</v>
      </c>
      <c r="V13" s="22">
        <v>-1</v>
      </c>
      <c r="W13" s="21">
        <v>-0.5</v>
      </c>
      <c r="X13" s="23">
        <v>-0.5</v>
      </c>
      <c r="Y13" s="23">
        <v>0</v>
      </c>
      <c r="Z13" s="23">
        <v>-1</v>
      </c>
      <c r="AA13" s="26">
        <v>-1</v>
      </c>
      <c r="AB13" s="26">
        <v>-1</v>
      </c>
      <c r="AC13" s="26">
        <v>-0.5</v>
      </c>
      <c r="AD13" s="26">
        <v>-1.5</v>
      </c>
      <c r="AE13" s="22">
        <v>-1.5</v>
      </c>
      <c r="AJ13" s="49">
        <f t="shared" si="1"/>
        <v>6.8999999999999995</v>
      </c>
    </row>
    <row r="14" spans="1:57" ht="17.25" thickBot="1" x14ac:dyDescent="0.35">
      <c r="A14" s="65" t="s">
        <v>28</v>
      </c>
      <c r="B14" s="27">
        <v>1</v>
      </c>
      <c r="C14" s="5">
        <v>15</v>
      </c>
      <c r="D14" s="5">
        <v>1.5</v>
      </c>
      <c r="E14" s="10"/>
      <c r="F14" s="6">
        <f>IFERROR(ROUND(2.5+(IF(H35&gt;=1,1/(H13+H14),0)),1),2.5+IF(H35=1,F35,0))</f>
        <v>2.8</v>
      </c>
      <c r="G14" s="24" t="s">
        <v>29</v>
      </c>
      <c r="H14" s="98">
        <v>0</v>
      </c>
      <c r="I14" s="12">
        <f t="shared" si="2"/>
        <v>0</v>
      </c>
      <c r="J14" s="12">
        <f t="shared" si="3"/>
        <v>0</v>
      </c>
      <c r="K14" s="22">
        <f t="shared" si="4"/>
        <v>0</v>
      </c>
      <c r="L14" s="103" t="s">
        <v>94</v>
      </c>
      <c r="M14" s="132">
        <v>0</v>
      </c>
      <c r="N14" s="21">
        <v>1</v>
      </c>
      <c r="O14" s="23">
        <v>1</v>
      </c>
      <c r="P14" s="23">
        <v>0</v>
      </c>
      <c r="Q14" s="23">
        <v>-0.5</v>
      </c>
      <c r="R14" s="23">
        <v>-0.5</v>
      </c>
      <c r="S14" s="23">
        <v>-1</v>
      </c>
      <c r="T14" s="23">
        <v>0</v>
      </c>
      <c r="U14" s="26">
        <v>-2</v>
      </c>
      <c r="V14" s="22">
        <v>-1</v>
      </c>
      <c r="W14" s="21">
        <v>-0.5</v>
      </c>
      <c r="X14" s="23">
        <v>-0.5</v>
      </c>
      <c r="Y14" s="23">
        <v>0</v>
      </c>
      <c r="Z14" s="23">
        <v>-1</v>
      </c>
      <c r="AA14" s="26">
        <v>-1</v>
      </c>
      <c r="AB14" s="26">
        <v>-1</v>
      </c>
      <c r="AC14" s="26">
        <v>-0.5</v>
      </c>
      <c r="AD14" s="26">
        <v>-2</v>
      </c>
      <c r="AE14" s="22">
        <v>-1.5</v>
      </c>
      <c r="AJ14" s="49">
        <f t="shared" si="1"/>
        <v>0</v>
      </c>
    </row>
    <row r="15" spans="1:57" ht="17.25" thickBot="1" x14ac:dyDescent="0.35">
      <c r="A15" s="65" t="s">
        <v>30</v>
      </c>
      <c r="B15" s="27" t="s">
        <v>16</v>
      </c>
      <c r="C15" s="5">
        <v>15</v>
      </c>
      <c r="D15" s="5">
        <v>2</v>
      </c>
      <c r="E15" s="10"/>
      <c r="F15" s="6">
        <v>2.5</v>
      </c>
      <c r="G15" s="24" t="s">
        <v>31</v>
      </c>
      <c r="H15" s="98">
        <v>1</v>
      </c>
      <c r="I15" s="12">
        <f t="shared" si="2"/>
        <v>15</v>
      </c>
      <c r="J15" s="12">
        <f t="shared" si="3"/>
        <v>2</v>
      </c>
      <c r="K15" s="12">
        <f t="shared" si="4"/>
        <v>17</v>
      </c>
      <c r="L15" s="86" t="s">
        <v>100</v>
      </c>
      <c r="M15" s="133"/>
      <c r="N15" s="21">
        <v>1</v>
      </c>
      <c r="O15" s="23">
        <v>0.5</v>
      </c>
      <c r="P15" s="23">
        <v>0</v>
      </c>
      <c r="Q15" s="23">
        <v>-0.5</v>
      </c>
      <c r="R15" s="23">
        <v>-0.5</v>
      </c>
      <c r="S15" s="23">
        <v>-1</v>
      </c>
      <c r="T15" s="23">
        <v>-0.5</v>
      </c>
      <c r="U15" s="26">
        <v>-2</v>
      </c>
      <c r="V15" s="22">
        <v>-1</v>
      </c>
      <c r="W15" s="21">
        <v>-0.5</v>
      </c>
      <c r="X15" s="23">
        <v>-0.5</v>
      </c>
      <c r="Y15" s="23">
        <v>0</v>
      </c>
      <c r="Z15" s="23">
        <v>-1</v>
      </c>
      <c r="AA15" s="26">
        <v>-1</v>
      </c>
      <c r="AB15" s="26">
        <v>-1</v>
      </c>
      <c r="AC15" s="26">
        <v>-0.5</v>
      </c>
      <c r="AD15" s="26">
        <v>-2</v>
      </c>
      <c r="AE15" s="22">
        <v>-1.5</v>
      </c>
      <c r="AJ15" s="49">
        <f t="shared" si="1"/>
        <v>2.5</v>
      </c>
    </row>
    <row r="16" spans="1:57" ht="16.5" x14ac:dyDescent="0.3">
      <c r="A16" s="64" t="s">
        <v>32</v>
      </c>
      <c r="B16" s="27" t="s">
        <v>16</v>
      </c>
      <c r="C16" s="5">
        <v>12</v>
      </c>
      <c r="D16" s="5">
        <v>2</v>
      </c>
      <c r="E16" s="9"/>
      <c r="F16" s="6">
        <v>3</v>
      </c>
      <c r="G16" s="24" t="s">
        <v>33</v>
      </c>
      <c r="H16" s="98">
        <v>0</v>
      </c>
      <c r="I16" s="12">
        <f t="shared" si="2"/>
        <v>0</v>
      </c>
      <c r="J16" s="12">
        <f t="shared" si="3"/>
        <v>0</v>
      </c>
      <c r="K16" s="12">
        <f t="shared" si="4"/>
        <v>0</v>
      </c>
      <c r="L16" s="105" t="s">
        <v>101</v>
      </c>
      <c r="M16" s="134">
        <v>0</v>
      </c>
      <c r="N16" s="21">
        <v>0</v>
      </c>
      <c r="O16" s="23">
        <v>0</v>
      </c>
      <c r="P16" s="12">
        <v>0.5</v>
      </c>
      <c r="Q16" s="23">
        <v>0</v>
      </c>
      <c r="R16" s="23">
        <v>0</v>
      </c>
      <c r="S16" s="23">
        <v>0</v>
      </c>
      <c r="T16" s="23">
        <v>-0.5</v>
      </c>
      <c r="U16" s="26">
        <v>-2</v>
      </c>
      <c r="V16" s="22">
        <v>0</v>
      </c>
      <c r="W16" s="21">
        <v>0</v>
      </c>
      <c r="X16" s="23">
        <v>0</v>
      </c>
      <c r="Y16" s="12">
        <v>0.5</v>
      </c>
      <c r="Z16" s="23">
        <v>0</v>
      </c>
      <c r="AA16" s="26">
        <v>0</v>
      </c>
      <c r="AB16" s="26">
        <v>0</v>
      </c>
      <c r="AC16" s="26">
        <v>-0.5</v>
      </c>
      <c r="AD16" s="26">
        <v>-2</v>
      </c>
      <c r="AE16" s="22">
        <v>0</v>
      </c>
      <c r="AJ16" s="49">
        <f t="shared" si="1"/>
        <v>0</v>
      </c>
    </row>
    <row r="17" spans="1:36" ht="17.25" thickBot="1" x14ac:dyDescent="0.35">
      <c r="A17" s="63" t="s">
        <v>34</v>
      </c>
      <c r="B17" s="27" t="s">
        <v>16</v>
      </c>
      <c r="C17" s="5">
        <v>20</v>
      </c>
      <c r="D17" s="5">
        <v>3</v>
      </c>
      <c r="E17" s="6"/>
      <c r="F17" s="6">
        <v>3</v>
      </c>
      <c r="G17" s="24" t="s">
        <v>35</v>
      </c>
      <c r="H17" s="98">
        <v>0</v>
      </c>
      <c r="I17" s="12">
        <f t="shared" si="2"/>
        <v>0</v>
      </c>
      <c r="J17" s="12">
        <f t="shared" si="3"/>
        <v>0</v>
      </c>
      <c r="K17" s="12">
        <f t="shared" si="4"/>
        <v>0</v>
      </c>
      <c r="L17" s="106" t="s">
        <v>102</v>
      </c>
      <c r="M17" s="132">
        <v>0</v>
      </c>
      <c r="N17" s="21">
        <v>0</v>
      </c>
      <c r="O17" s="23">
        <v>0</v>
      </c>
      <c r="P17" s="23">
        <v>0</v>
      </c>
      <c r="Q17" s="23">
        <v>0</v>
      </c>
      <c r="R17" s="12">
        <v>0.5</v>
      </c>
      <c r="S17" s="23">
        <v>-2</v>
      </c>
      <c r="T17" s="12">
        <v>0</v>
      </c>
      <c r="U17" s="26">
        <v>-3</v>
      </c>
      <c r="V17" s="22">
        <v>-1</v>
      </c>
      <c r="W17" s="21">
        <v>0</v>
      </c>
      <c r="X17" s="23">
        <v>0</v>
      </c>
      <c r="Y17" s="23">
        <v>0</v>
      </c>
      <c r="Z17" s="23">
        <v>0</v>
      </c>
      <c r="AA17" s="12">
        <v>0.5</v>
      </c>
      <c r="AB17" s="26">
        <v>-2</v>
      </c>
      <c r="AC17" s="26">
        <v>0</v>
      </c>
      <c r="AD17" s="26">
        <v>-3</v>
      </c>
      <c r="AE17" s="22">
        <v>-0.5</v>
      </c>
      <c r="AJ17" s="49">
        <f t="shared" si="1"/>
        <v>0</v>
      </c>
    </row>
    <row r="18" spans="1:36" ht="16.5" x14ac:dyDescent="0.3">
      <c r="A18" s="63" t="s">
        <v>36</v>
      </c>
      <c r="B18" s="27">
        <v>2</v>
      </c>
      <c r="C18" s="5">
        <v>8</v>
      </c>
      <c r="D18" s="5">
        <v>1.5</v>
      </c>
      <c r="E18" s="6"/>
      <c r="F18" s="6">
        <f>0.5+IF(D34=1,0.5,0)</f>
        <v>0.5</v>
      </c>
      <c r="G18" s="24" t="s">
        <v>37</v>
      </c>
      <c r="H18" s="98">
        <v>0</v>
      </c>
      <c r="I18" s="12">
        <f t="shared" si="2"/>
        <v>0</v>
      </c>
      <c r="J18" s="12">
        <f t="shared" si="3"/>
        <v>0</v>
      </c>
      <c r="K18" s="22">
        <f t="shared" si="4"/>
        <v>0</v>
      </c>
      <c r="N18" s="21">
        <v>0</v>
      </c>
      <c r="O18" s="23">
        <v>0</v>
      </c>
      <c r="P18" s="12">
        <v>0.5</v>
      </c>
      <c r="Q18" s="23">
        <v>-1</v>
      </c>
      <c r="R18" s="23">
        <v>-1</v>
      </c>
      <c r="S18" s="23">
        <v>0</v>
      </c>
      <c r="T18" s="23">
        <v>0</v>
      </c>
      <c r="U18" s="26">
        <v>0</v>
      </c>
      <c r="V18" s="22">
        <v>2</v>
      </c>
      <c r="W18" s="21">
        <v>0</v>
      </c>
      <c r="X18" s="23">
        <v>0</v>
      </c>
      <c r="Y18" s="12">
        <v>0.5</v>
      </c>
      <c r="Z18" s="23">
        <v>-1</v>
      </c>
      <c r="AA18" s="23">
        <v>-1</v>
      </c>
      <c r="AB18" s="26">
        <v>-0.5</v>
      </c>
      <c r="AC18" s="26">
        <v>0</v>
      </c>
      <c r="AD18" s="26">
        <v>0</v>
      </c>
      <c r="AE18" s="22">
        <v>0</v>
      </c>
      <c r="AJ18" s="49">
        <f t="shared" si="1"/>
        <v>0</v>
      </c>
    </row>
    <row r="19" spans="1:36" ht="17.25" thickBot="1" x14ac:dyDescent="0.35">
      <c r="A19" s="64" t="s">
        <v>38</v>
      </c>
      <c r="B19" s="27" t="s">
        <v>16</v>
      </c>
      <c r="C19" s="5">
        <v>15</v>
      </c>
      <c r="D19" s="5">
        <v>2.5</v>
      </c>
      <c r="E19" s="9"/>
      <c r="F19" s="6">
        <v>2</v>
      </c>
      <c r="G19" s="24" t="s">
        <v>39</v>
      </c>
      <c r="H19" s="98">
        <v>0</v>
      </c>
      <c r="I19" s="12">
        <f t="shared" si="2"/>
        <v>0</v>
      </c>
      <c r="J19" s="12">
        <f t="shared" si="3"/>
        <v>0</v>
      </c>
      <c r="K19" s="22">
        <f t="shared" si="4"/>
        <v>0</v>
      </c>
      <c r="N19" s="39">
        <v>0</v>
      </c>
      <c r="O19" s="43">
        <v>0</v>
      </c>
      <c r="P19" s="43">
        <v>1</v>
      </c>
      <c r="Q19" s="43">
        <v>-1</v>
      </c>
      <c r="R19" s="43">
        <v>-1</v>
      </c>
      <c r="S19" s="43">
        <v>0</v>
      </c>
      <c r="T19" s="43">
        <v>0</v>
      </c>
      <c r="U19" s="44">
        <v>-1</v>
      </c>
      <c r="V19" s="36">
        <v>3</v>
      </c>
      <c r="W19" s="39">
        <v>0</v>
      </c>
      <c r="X19" s="43">
        <v>0</v>
      </c>
      <c r="Y19" s="43">
        <v>1</v>
      </c>
      <c r="Z19" s="43">
        <v>-0.5</v>
      </c>
      <c r="AA19" s="43">
        <v>-0.5</v>
      </c>
      <c r="AB19" s="44">
        <v>0</v>
      </c>
      <c r="AC19" s="44">
        <v>0</v>
      </c>
      <c r="AD19" s="44">
        <v>-1</v>
      </c>
      <c r="AE19" s="36">
        <v>2</v>
      </c>
      <c r="AJ19" s="49">
        <f t="shared" si="1"/>
        <v>0</v>
      </c>
    </row>
    <row r="20" spans="1:36" ht="16.5" x14ac:dyDescent="0.3">
      <c r="A20" s="67" t="s">
        <v>44</v>
      </c>
      <c r="B20" s="42"/>
      <c r="C20" s="42"/>
      <c r="D20" s="42"/>
      <c r="E20" s="42"/>
      <c r="F20" s="42"/>
      <c r="G20" s="42"/>
      <c r="H20" s="99"/>
      <c r="I20" s="42"/>
      <c r="J20" s="42"/>
      <c r="K20" s="56"/>
      <c r="L20" s="90" t="s">
        <v>41</v>
      </c>
      <c r="M20" s="92"/>
      <c r="N20" s="90" t="s">
        <v>45</v>
      </c>
      <c r="O20" s="91"/>
      <c r="P20" s="91"/>
      <c r="Q20" s="91"/>
      <c r="R20" s="91"/>
      <c r="S20" s="91"/>
      <c r="T20" s="91"/>
      <c r="U20" s="91"/>
      <c r="V20" s="92"/>
      <c r="W20" s="90" t="s">
        <v>95</v>
      </c>
      <c r="X20" s="91"/>
      <c r="Y20" s="91"/>
      <c r="Z20" s="91"/>
      <c r="AA20" s="91"/>
      <c r="AB20" s="91"/>
      <c r="AC20" s="91"/>
      <c r="AD20" s="91"/>
      <c r="AE20" s="92"/>
      <c r="AJ20" s="49">
        <f t="shared" si="1"/>
        <v>0</v>
      </c>
    </row>
    <row r="21" spans="1:36" ht="16.5" x14ac:dyDescent="0.3">
      <c r="A21" s="63" t="s">
        <v>5</v>
      </c>
      <c r="B21" s="28"/>
      <c r="C21" s="7">
        <v>0</v>
      </c>
      <c r="F21" s="52">
        <v>1.5</v>
      </c>
      <c r="G21" s="24" t="s">
        <v>55</v>
      </c>
      <c r="H21" s="98">
        <v>2</v>
      </c>
      <c r="I21" s="12">
        <f t="shared" ref="I21:I32" si="5">H21*C21</f>
        <v>0</v>
      </c>
      <c r="J21" s="12">
        <f t="shared" si="3"/>
        <v>0</v>
      </c>
      <c r="K21" s="22">
        <f t="shared" ref="K21:K32" si="6">I21+J21</f>
        <v>0</v>
      </c>
      <c r="L21" s="136">
        <f>ROUND(SUM(AJ3:AJ32),1)</f>
        <v>15.7</v>
      </c>
      <c r="M21" s="137"/>
      <c r="N21" s="125" t="s">
        <v>46</v>
      </c>
      <c r="O21" s="16" t="s">
        <v>47</v>
      </c>
      <c r="P21" s="13" t="s">
        <v>48</v>
      </c>
      <c r="Q21" s="17" t="s">
        <v>49</v>
      </c>
      <c r="R21" s="15" t="s">
        <v>50</v>
      </c>
      <c r="S21" s="18" t="s">
        <v>51</v>
      </c>
      <c r="T21" s="14" t="s">
        <v>52</v>
      </c>
      <c r="U21" s="19" t="s">
        <v>53</v>
      </c>
      <c r="V21" s="20" t="s">
        <v>54</v>
      </c>
      <c r="W21" s="125" t="s">
        <v>46</v>
      </c>
      <c r="X21" s="16" t="s">
        <v>47</v>
      </c>
      <c r="Y21" s="13" t="s">
        <v>48</v>
      </c>
      <c r="Z21" s="17" t="s">
        <v>49</v>
      </c>
      <c r="AA21" s="15" t="s">
        <v>50</v>
      </c>
      <c r="AB21" s="18" t="s">
        <v>51</v>
      </c>
      <c r="AC21" s="14" t="s">
        <v>52</v>
      </c>
      <c r="AD21" s="19" t="s">
        <v>53</v>
      </c>
      <c r="AE21" s="20" t="s">
        <v>54</v>
      </c>
      <c r="AJ21" s="49">
        <f t="shared" si="1"/>
        <v>3</v>
      </c>
    </row>
    <row r="22" spans="1:36" ht="17.25" thickBot="1" x14ac:dyDescent="0.35">
      <c r="A22" s="63" t="s">
        <v>7</v>
      </c>
      <c r="B22" s="28"/>
      <c r="C22" s="7">
        <v>0</v>
      </c>
      <c r="F22" s="53">
        <v>2</v>
      </c>
      <c r="G22" s="24" t="s">
        <v>56</v>
      </c>
      <c r="H22" s="98">
        <v>0</v>
      </c>
      <c r="I22" s="12">
        <f t="shared" si="5"/>
        <v>0</v>
      </c>
      <c r="J22" s="12">
        <f t="shared" si="3"/>
        <v>0</v>
      </c>
      <c r="K22" s="22">
        <f t="shared" si="6"/>
        <v>0</v>
      </c>
      <c r="L22" s="138"/>
      <c r="M22" s="139"/>
      <c r="N22" s="31">
        <f>IFERROR(ROUND(($L21+N3*$H3+N4*$H4+N5*$H5+N6*$H6+N7*$H7+N8*$H8+N9*$H9+N10*$H10+N11*$H11+N12*$H12+N13*$H13+N14*$H14+N15*$H15+N16*$H16+N17*$H17+N18*$H18+N19*$H19+N3*$H21+N4*$H22+N5*$H23+N6*$H24+N7*$H25+N8*$H26+N9*$H27+N10*$H28+N11*$H29+N12*$H30+N13*$H31+N14*$H32)*$L3*$AR5*IF(($H5+$H6+$H7+$H9+$H23+$H24+$H25+$H27)/$AN3&gt;=0.3,IF(($H3+$H4+$H8+$H12+$H21+$H22+$H26+$H30)/$AN3&gt;=0.3,IF(($H12+$H13+$H14+$H15+$H16+$H17+$H30+$H31+$H32)/$AN3&gt;=0.3,1.33,1),1),1),1),(ROUND(($L21+N3*$H3+N4*$H4+N5*$H5+N6*$H6+N7*$H7+N8*$H8+N9*$H9+N10*$H10+N11*$H11+N12*$H12+N13*$H13+N14*$H14+N15*$H15+N16*$H16+N17*$H17+N18*$H18+N19*$H19)*$L3*$AR5*$AP3,1)))</f>
        <v>22.1</v>
      </c>
      <c r="O22" s="31">
        <f>IFERROR(ROUND(($L21+O3*$H3+O4*$H4+O5*$H5+O6*$H6+O7*$H7+O8*$H8+O9*$H9+O10*$H10+O11*$H11+O12*$H12+O13*$H13+O14*$H14+O15*$H15+O16*$H16+O17*$H17+O18*$H18+O19*$H19+O3*$H21+O4*$H22+O5*$H23+O6*$H24+O7*$H25+O8*$H26+O9*$H27+O10*$H28+O11*$H29+O12*$H30+O13*$H31+O14*$H32)*$L3*$AR5*IF(($H5+$H6+$H7+$H9+$H23+$H24+$H25+$H27)/$AN3&gt;=0.3,IF(($H3+$H4+$H8+$H12+$H21+$H22+$H26+$H30)/$AN3&gt;=0.3,IF(($H12+$H13+$H14+$H15+$H16+$H17+$H30+$H31+$H32)/$AN3&gt;=0.3,1.33,1),1),1),1),(ROUND(($L21+O3*$H3+O4*$H4+O5*$H5+O6*$H6+O7*$H7+O8*$H8+O9*$H9+O10*$H10+O11*$H11+O12*$H12+O13*$H13+O14*$H14+O15*$H15+O16*$H16+O17*$H17+O18*$H18+O19*$H19)*$L3*$AR5*$AP3,1)))</f>
        <v>23.6</v>
      </c>
      <c r="P22" s="31">
        <f>IFERROR(ROUND(($L21+P3*$H3+P4*$H4+P5*$H5+P6*$H6+P7*$H7+P8*$H8+P9*$H9+P10*$H10+P11*$H11+P12*$H12+P13*$H13+P14*$H14+P15*$H15+P16*$H16+P17*$H17+P18*$H18+P19*$H19+P3*$H21+P4*$H22+P5*$H23+P6*$H24+P7*$H25+P8*$H26+P9*$H27+P10*$H28+P11*$H29+P12*$H30+P13*$H31+P14*$H32)*$L3*$AR4*IF(($H5+$H6+$H7+$H9+$H23+$H24+$H25+$H27)/$AN3&gt;=0.3,IF(($H3+$H4+$H8+$H12+$H21+$H22+$H26+$H30)/$AN3&gt;=0.3,IF(($H12+$H13+$H14+$H15+$H16+$H17+$H30+$H31+$H32)/$AN3&gt;=0.3,1.33,1),1),1),1),(ROUND(($L21+P3*$H3+P4*$H4+P5*$H5+P6*$H6+P7*$H7+P8*$H8+P9*$H9+P10*$H10+P11*$H11+P12*$H12+P13*$H13+P14*$H14+P15*$H15+P16*$H16+P17*$H17+P18*$H18+P19*$H19)*$L3*$AR4*$AP3,1)))</f>
        <v>18.8</v>
      </c>
      <c r="Q22" s="31">
        <f>IFERROR(ROUND(($L21+Q3*$H3+Q4*$H4+Q5*$H5+Q6*$H6+Q7*$H7+Q8*$H8+Q9*$H9+Q10*$H10+Q11*$H11+Q12*$H12+Q13*$H13+Q14*$H14+Q15*$H15+Q16*$H16+Q17*$H17+Q18*$H18+Q19*$H19+Q3*$H21+Q4*$H22+Q5*$H23+Q6*$H24+Q7*$H25+Q8*$H26+Q9*$H27+Q10*$H28+Q11*$H29+Q12*$H30+Q13*$H31+Q14*$H32)*$L3*$AR4*IF(($H5+$H6+$H7+$H9+$H23+$H24+$H25+$H27)/$AN3&gt;=0.3,IF(($H3+$H4+$H8+$H12+$H21+$H22+$H26+$H30)/$AN3&gt;=0.3,IF(($H12+$H13+$H14+$H15+$H16+$H17+$H30+$H31+$H32)/$AN3&gt;=0.3,1.33,1),1),1),1),(ROUND(($L21+Q3*$H3+Q4*$H4+Q5*$H5+Q6*$H6+Q7*$H7+Q8*$H8+Q9*$H9+Q10*$H10+Q11*$H11+Q12*$H12+Q13*$H13+Q14*$H14+Q15*$H15+Q16*$H16+Q17*$H17+Q18*$H18+Q19*$H19)*$L3*$AR4*$AP3,1)))</f>
        <v>17.3</v>
      </c>
      <c r="R22" s="31">
        <f>IFERROR(ROUND(($L21+R3*$H3+R4*$H4+R5*$H5+R6*$H6+R7*$H7+R8*$H8+R9*$H9+R10*$H10+R11*$H11+R12*$H12+R13*$H13+R14*$H14+R15*$H15+R16*$H16+R17*$H17+R18*$H18+R19*$H19+R3*$H21+R4*$H22+R5*$H23+R6*$H24+R7*$H25+R8*$H26+R9*$H27+R10*$H28+R11*$H29+R12*$H30+R13*$H31+R14*$H32)*$L3*$AR4*IF(($H5+$H6+$H7+$H9+$H23+$H24+$H25+$H27)/$AN3&gt;=0.3,IF(($H3+$H4+$H8+$H12+$H21+$H22+$H26+$H30)/$AN3&gt;=0.3,IF(($H12+$H13+$H14+$H15+$H16+$H17+$H30+$H31+$H32)/$AN3&gt;=0.3,1.33,1),1),1),1),(ROUND(($L21+R3*$H3+R4*$H4+R5*$H5+R6*$H6+R7*$H7+R8*$H8+R9*$H9+R10*$H10+R11*$H11+R12*$H12+R13*$H13+R14*$H14+R15*$H15+R16*$H16+R17*$H17+R18*$H18+R19*$H19)*$L3*$AR4*$AP3,1)))</f>
        <v>16.100000000000001</v>
      </c>
      <c r="S22" s="31">
        <f>IFERROR(ROUND(($L21+S3*$H3+S4*$H4+S5*$H5+S6*$H6+S7*$H7+S8*$H8+S9*$H9+S10*$H10+S11*$H11+S12*$H12+S13*$H13+S14*$H14+S15*$H15+S16*$H16+S17*$H17+S18*$H18+S19*$H19+S3*$H21+S4*$H22+S5*$H23+S6*$H24+S7*$H25+S8*$H26+S9*$H27+S10*$H28+S11*$H29+S12*$H30+S13*$H31+S14*$H32)*$L3*$AR3*IF(($H5+$H6+$H7+$H9+$H23+$H24+$H25+$H27)/$AN3&gt;=0.3,IF(($H3+$H4+$H8+$H12+$H21+$H22+$H26+$H30)/$AN3&gt;=0.3,IF(($H12+$H13+$H14+$H15+$H16+$H17+$H30+$H31+$H32)/$AN3&gt;=0.3,1.33,1),1),1),1),(ROUND(($L21+S3*$H3+S4*$H4+S5*$H5+S6*$H6+S7*$H7+S8*$H8+S9*$H9+S10*$H10+S11*$H11+S12*$H12+S13*$H13+S14*$H14+S15*$H15+S16*$H16+S17*$H17+S18*$H18+S19*$H19)*$L3*$AR3*$AP3,1)))</f>
        <v>13.4</v>
      </c>
      <c r="T22" s="31">
        <f>IFERROR(ROUND(($L21+T3*$H3+T4*$H4+T5*$H5+T6*$H6+T7*$H7+T8*$H8+T9*$H9+T10*$H10+T11*$H11+T12*$H12+T13*$H13+T14*$H14+T15*$H15+T16*$H16+T17*$H17+T18*$H18+T19*$H19+T3*$H21+T4*$H22+T5*$H23+T6*$H24+T7*$H25+T8*$H26+T9*$H27+T10*$H28+T11*$H29+T12*$H30+T13*$H31+T14*$H32)*$L3*$AR5*IF(($H5+$H6+$H7+$H9+$H23+$H24+$H25+$H27)/$AN3&gt;=0.3,IF(($H3+$H4+$H8+$H12+$H21+$H22+$H26+$H30)/$AN3&gt;=0.3,IF(($H12+$H13+$H14+$H15+$H16+$H17+$H30+$H31+$H32)/$AN3&gt;=0.3,1.33,1),1),1),1),(ROUND(($L21+T3*$H3+T4*$H4+T5*$H5+T6*$H6+T7*$H7+T8*$H8+T9*$H9+T10*$H10+T11*$H11+T12*$H12+T13*$H13+T14*$H14+T15*$H15+T16*$H16+T17*$H17+T18*$H18+T19*$H19)*$L3*$AR5*$AP3,1)))</f>
        <v>18.2</v>
      </c>
      <c r="U22" s="31">
        <f>IFERROR(ROUND(($L21+U3*$H3+U4*$H4+U5*$H5+U6*$H6+U7*$H7+U8*$H8+U9*$H9+U10*$H10+U11*$H11+U12*$H12+U13*$H13+U14*$H14+U15*$H15+U16*$H16+U17*$H17+U18*$H18+U19*$H19+U3*$H21+U4*$H22+U5*$H23+U6*$H24+U7*$H25+U8*$H26+U9*$H27+U10*$H28+U11*$H29+U12*$H30+U13*$H31+U14*$H32)*$L3*IF(($H5+$H6+$H7+$H9+$H23+$H24+$H25+$H27)/$AN3&gt;=0.3,IF(($H3+$H4+$H8+$H12+$H21+$H22+$H26+$H30)/$AN3&gt;=0.3,IF(($H12+$H13+$H14+$H15+$H16+$H17+$H30+$H31+$H32)/$AN3&gt;=0.3,1.33,1),1),1),1),(ROUND(($L21+U3*$H3+U4*$H4+U5*$H5+U6*$H6+U7*$H7+U8*$H8+U9*$H9+U10*$H10+U11*$H11+U12*$H12+U13*$H13+U14*$H14+U15*$H15+U16*$H16+U17*$H17+U18*$H18+U19*$H19)*$L3*$AP3,1)))</f>
        <v>8.9</v>
      </c>
      <c r="V22" s="127">
        <f>IFERROR(ROUND(($L21+V3*$H3+V4*$H4+V5*$H5+V6*$H6+V7*$H7+V8*$H8+V9*$H9+V10*$H10+V11*$H11+V12*$H12+V13*$H13+V14*$H14+V15*$H15+V16*$H16+V17*$H17+V18*$H18+V19*$H19+V3*$H21+V4*$H22+V5*$H23+V6*$H24+V7*$H25+V8*$H26+V9*$H27+V10*$H28+V11*$H29+V12*$H30+V13*$H31+V14*$H32)*$L3*$AR3*IF(($H5+$H6+$H7+$H9+$H23+$H24+$H25+$H27)/$AN3&gt;=0.3,IF(($H3+$H4+$H8+$H12+$H21+$H22+$H26+$H30)/$AN3&gt;=0.3,IF(($H12+$H13+$H14+$H15+$H16+$H17+$H30+$H31+$H32)/$AN3&gt;=0.3,1.33,1),1),1),1),(ROUND(($L21+V3*$H3+V4*$H4+V5*$H5+V6*$H6+V7*$H7+V8*$H8+V9*$H9+V10*$H10+V11*$H11+V12*$H12+V13*$H13+V14*$H14+V15*$H15+V16*$H16+V17*$H17+V18*$H18+V19*$H19)*$L3*$AR3,1)))</f>
        <v>13.4</v>
      </c>
      <c r="W22" s="126">
        <f>IFERROR(ROUND(($L21+W3*$H3+W4*$H4+W5*$H5+W6*$H6+W7*$H7+W8*$H8+W9*$H9+W10*$H10+W11*$H11+W12*$H12+W13*$H13+W14*$H14+W15*$H15+W16*$H16+W17*$H17+W18*$H18+W19*$H19+W3*$H21+W4*$H22+W5*$H23+W6*$H24+W7*$H25+W8*$H26+W9*$H27+W10*$H28+W11*$H29+W12*$H30+W13*$H31+W14*$H32)*$L3*IF(($H5+$H6+$H7+$H9+$H23+$H24+$H25+$H27)/$AN3&gt;=0.3,IF(($H3+$H4+$H8+$H12+$H21+$H22+$H26+$H30)/$AN3&gt;=0.3,IF(($H12+$H13+$H14+$H15+$H16+$H17+$H30+$H31+$H32)/$AN3&gt;=0.3,1.33,1),1),1),1),(ROUND(($L21+W3*$H3+W4*$H4+W5*$H5+W6*$H6+W7*$H7+W8*$H8+W9*$H9+W10*$H10+W11*$H11+W12*$H12+W13*$H13+W14*$H14+W15*$H15+W16*$H16+W17*$H17+W18*$H18+W19*$H19)*$L3+$AM3*IF($M5=1,$AL3,1),1)))</f>
        <v>17.3</v>
      </c>
      <c r="X22" s="31">
        <f>IFERROR(ROUND(($L21+X3*$H3+X4*$H4+X5*$H5+X6*$H6+X7*$H7+X8*$H8+X9*$H9+X10*$H10+X11*$H11+X12*$H12+X13*$H13+X14*$H14+X15*$H15+X16*$H16+X17*$H17+X18*$H18+X19*$H19+X3*$H21+X4*$H22+X5*$H23+X6*$H24+X7*$H25+X8*$H26+X9*$H27+X10*$H28+X11*$H29+X12*$H30+X13*$H31+X14*$H32)*$L3*IF(($H5+$H6+$H7+$H9+$H23+$H24+$H25+$H27)/$AN3&gt;=0.3,IF(($H3+$H4+$H8+$H12+$H21+$H22+$H26+$H30)/$AN3&gt;=0.3,IF(($H12+$H13+$H14+$H15+$H16+$H17+$H30+$H31+$H32)/$AN3&gt;=0.3,1.33,1),1),1),1),(ROUND(($L21+X3*$H3+X4*$H4+X5*$H5+X6*$H6+X7*$H7+X8*$H8+X9*$H9+X10*$H10+X11*$H11+X12*$H12+X13*$H13+X14*$H14+X15*$H15+X16*$H16+X17*$H17+X18*$H18+X19*$H19)*$L3+$AM3*IF($M5=1,$AL3,1),1)))</f>
        <v>16.100000000000001</v>
      </c>
      <c r="Y22" s="31">
        <f>IFERROR(ROUND(($L21+Y3*$H3+Y4*$H4+Y5*$H5+Y6*$H6+Y7*$H7+Y8*$H8+Y9*$H9+Y10*$H10+Y11*$H11+Y12*$H12+Y13*$H13+Y14*$H14+Y15*$H15+Y16*$H16+Y17*$H17+Y18*$H18+Y19*$H19+Y3*$H21+Y4*$H22+Y5*$H23+Y6*$H24+Y7*$H25+Y8*$H26+Y9*$H27+Y10*$H28+Y11*$H29+Y12*$H30+Y13*$H31+Y14*$H32)*$L3*IF(($H5+$H6+$H7+$H9+$H23+$H24+$H25+$H27)/$AN3&gt;=0.3,IF(($H3+$H4+$H8+$H12+$H21+$H22+$H26+$H30)/$AN3&gt;=0.3,IF(($H12+$H13+$H14+$H15+$H16+$H17+$H30+$H31+$H32)/$AN3&gt;=0.3,1.33,1),1),1),1),(ROUND(($L21+Y3*$H3+Y4*$H4+Y5*$H5+Y6*$H6+Y7*$H7+Y8*$H8+Y9*$H9+Y10*$H10+Y11*$H11+Y12*$H12+Y13*$H13+Y14*$H14+Y15*$H15+Y16*$H16+Y17*$H17+Y18*$H18+Y19*$H19)*$L3+$AM3*IF($M5=1,$AL3,1),1)))</f>
        <v>20</v>
      </c>
      <c r="Z22" s="31">
        <f>IFERROR(ROUND(($L21+Z3*$H3+Z4*$H4+Z5*$H5+Z6*$H6+Z7*$H7+Z8*$H8+Z9*$H9+Z10*$H10+Z11*$H11+Z12*$H12+Z13*$H13+Z14*$H14+Z15*$H15+Z16*$H16+Z17*$H17+Z18*$H18+Z19*$H19+Z3*$H21+Z4*$H22+Z5*$H23+Z6*$H24+Z7*$H25+Z8*$H26+Z9*$H27+Z10*$H28+Z11*$H29+Z12*$H30+Z13*$H31+Z14*$H32)*$L3*IF(($H5+$H6+$H7+$H9+$H23+$H24+$H25+$H27)/$AN3&gt;=0.3,IF(($H3+$H4+$H8+$H12+$H21+$H22+$H26+$H30)/$AN3&gt;=0.3,IF(($H12+$H13+$H14+$H15+$H16+$H17+$H30+$H31+$H32)/$AN3&gt;=0.3,1.33,1),1),1),1),(ROUND(($L21+Z3*$H3+Z4*$H4+Z5*$H5+Z6*$H6+Z7*$H7+Z8*$H8+Z9*$H9+Z10*$H10+Z11*$H11+Z12*$H12+Z13*$H13+Z14*$H14+Z15*$H15+Z16*$H16+Z17*$H17+Z18*$H18+Z19*$H19)*$L3+$AM3*IF($M5=1,$AL3,1),1)))</f>
        <v>14.6</v>
      </c>
      <c r="AA22" s="31">
        <f>IFERROR(ROUND(($L21+AA3*$H3+AA4*$H4+AA5*$H5+AA6*$H6+AA7*$H7+AA8*$H8+AA9*$H9+AA10*$H10+AA11*$H11+AA12*$H12+AA13*$H13+AA14*$H14+AA15*$H15+AA16*$H16+AA17*$H17+AA18*$H18+AA19*$H19+AA3*$H21+AA4*$H22+AA5*$H23+AA6*$H24+AA7*$H25+AA8*$H26+AA9*$H27+AA10*$H28+AA11*$H29+AA12*$H30+AA13*$H31+AA14*$H32)*$L3*IF(($H5+$H6+$H7+$H9+$H23+$H24+$H25+$H27)/$AN3&gt;=0.3,IF(($H3+$H4+$H8+$H12+$H21+$H22+$H26+$H30)/$AN3&gt;=0.3,IF(($H12+$H13+$H14+$H15+$H16+$H17+$H30+$H31+$H32)/$AN3&gt;=0.3,1.33,1),1),1),1),(ROUND(($L21+AA3*$H3+AA4*$H4+AA5*$H5+AA6*$H6+AA7*$H7+AA8*$H8+AA9*$H9+AA10*$H10+AA11*$H11+AA12*$H12+AA13*$H13+AA14*$H14+AA15*$H15+AA16*$H16+AA17*$H17+AA18*$H18+AA19*$H19)*$L3+$AM3*IF($M5=1,$AL3,1),1)))</f>
        <v>14.6</v>
      </c>
      <c r="AB22" s="31">
        <f>IFERROR(ROUND(($L21+AB3*$H3+AB4*$H4+AB5*$H5+AB6*$H6+AB7*$H7+AB8*$H8+AB9*$H9+AB10*$H10+AB11*$H11+AB12*$H12+AB13*$H13+AB14*$H14+AB15*$H15+AB16*$H16+AB17*$H17+AB18*$H18+AB19*$H19+AB3*$H21+AB4*$H22+AB5*$H23+AB6*$H24+AB7*$H25+AB8*$H26+AB9*$H27+AB10*$H28+AB11*$H29+AB12*$H30+AB13*$H31+AB14*$H32)*$L3*IF(($H5+$H6+$H7+$H9+$H23+$H24+$H25+$H27)/$AN3&gt;=0.3,IF(($H3+$H4+$H8+$H12+$H21+$H22+$H26+$H30)/$AN3&gt;=0.3,IF(($H12+$H13+$H14+$H15+$H16+$H17+$H30+$H31+$H32)/$AN3&gt;=0.3,1.33,1),1),1),1),(ROUND(($L21+AB3*$H3+AB4*$H4+AB5*$H5+AB6*$H6+AB7*$H7+AB8*$H8+AB9*$H9+AB10*$H10+AB11*$H11+AB12*$H12+AB13*$H13+AB14*$H14+AB15*$H15+AB16*$H16+AB17*$H17+AB18*$H18+AB19*$H19)*$L3+$AM3*IF($M5=1,$AL3,1),1)))</f>
        <v>13.4</v>
      </c>
      <c r="AC22" s="31">
        <f>IFERROR(ROUND(($L21+AC3*$H3+AC4*$H4+AC5*$H5+AC6*$H6+AC7*$H7+AC8*$H8+AC9*$H9+AC10*$H10+AC11*$H11+AC12*$H12+AC13*$H13+AC14*$H14+AC15*$H15+AC16*$H16+AC17*$H17+AC18*$H18+AC19*$H19+AC3*$H21+AC4*$H22+AC5*$H23+AC6*$H24+AC7*$H25+AC8*$H26+AC9*$H27+AC10*$H28+AC11*$H29+AC12*$H30+AC13*$H31+AC14*$H32)*$L3*IF(($H5+$H6+$H7+$H9+$H23+$H24+$H25+$H27)/$AN3&gt;=0.3,IF(($H3+$H4+$H8+$H12+$H21+$H22+$H26+$H30)/$AN3&gt;=0.3,IF(($H12+$H13+$H14+$H15+$H16+$H17+$H30+$H31+$H32)/$AN3&gt;=0.3,1.33,1),1),1),1),(ROUND(($L21+AC3*$H3+AC4*$H4+AC5*$H5+AC6*$H6+AC7*$H7+AC8*$H8+AC9*$H9+AC10*$H10+AC11*$H11+AC12*$H12+AC13*$H13+AC14*$H14+AC15*$H15+AC16*$H16+AC17*$H17+AC18*$H18+AC19*$H19)*$L3+$AM3*IF($M5=1,$AL3,1),1)))</f>
        <v>16.100000000000001</v>
      </c>
      <c r="AD22" s="31">
        <f>IFERROR(ROUND(($L21+AD3*$H3+AD4*$H4+AD5*$H5+AD6*$H6+AD7*$H7+AD8*$H8+AD9*$H9+AD10*$H10+AD11*$H11+AD12*$H12+AD13*$H13+AD14*$H14+AD15*$H15+AD16*$H16+AD17*$H17+AD18*$H18+AD19*$H19+AD3*$H21+AD4*$H22+AD5*$H23+AD6*$H24+AD7*$H25+AD8*$H26+AD9*$H27+AD10*$H28+AD11*$H29+AD12*$H30+AD13*$H31+AD14*$H32)*$L3*IF(($H5+$H6+$H7+$H9+$H23+$H24+$H25+$H27)/$AN3&gt;=0.3,IF(($H3+$H4+$H8+$H12+$H21+$H22+$H26+$H30)/$AN3&gt;=0.3,IF(($H12+$H13+$H14+$H15+$H16+$H17+$H30+$H31+$H32)/$AN3&gt;=0.3,1.33,1),1),1),1),(ROUND(($L21+AD3*$H3+AD4*$H4+AD5*$H5+AD6*$H6+AD7*$H7+AD8*$H8+AD9*$H9+AD10*$H10+AD11*$H11+AD12*$H12+AD13*$H13+AD14*$H14+AD15*$H15+AD16*$H16+AD17*$H17+AD18*$H18+AD19*$H19)*$L3+$AM3*IF($M5=1,$AL3,1),1)))</f>
        <v>8.9</v>
      </c>
      <c r="AE22" s="127">
        <f>IFERROR(ROUND(($L21+AE3*$H3+AE4*$H4+AE5*$H5+AE6*$H6+AE7*$H7+AE8*$H8+AE9*$H9+AE10*$H10+AE11*$H11+AE12*$H12+AE13*$H13+AE14*$H14+AE15*$H15+AE16*$H16+AE17*$H17+AE18*$H18+AE19*$H19+AE3*$H21+AE4*$H22+AE5*$H23+AE6*$H24+AE7*$H25+AE8*$H26+AE9*$H27+AE10*$H28+AE11*$H29+AE12*$H30+AE13*$H31+AE14*$H32)*$L3*IF(($H5+$H6+$H7+$H9+$H23+$H24+$H25+$H27)/$AN3&gt;=0.3,IF(($H3+$H4+$H8+$H12+$H21+$H22+$H26+$H30)/$AN3&gt;=0.3,IF(($H12+$H13+$H14+$H15+$H16+$H17+$H30+$H31+$H32)/$AN3&gt;=0.3,1.33,1),1),1),1),(ROUND(($L21+AE3*$H3+AE4*$H4+AE5*$H5+AE6*$H6+AE7*$H7+AE8*$H8+AE9*$H9+AE10*$H10+AE11*$H11+AE12*$H12+AE13*$H13+AE14*$H14+AE15*$H15+AE16*$H16+AE17*$H17+AE18*$H18+AE19*$H19)*$L3+$AM3*IF($M5=1,$AL3,1),1)))</f>
        <v>13.7</v>
      </c>
      <c r="AJ22" s="49">
        <f t="shared" si="1"/>
        <v>0</v>
      </c>
    </row>
    <row r="23" spans="1:36" ht="16.5" x14ac:dyDescent="0.3">
      <c r="A23" s="63" t="s">
        <v>9</v>
      </c>
      <c r="B23" s="28"/>
      <c r="C23" s="7">
        <v>0</v>
      </c>
      <c r="F23" s="53">
        <v>1.5</v>
      </c>
      <c r="G23" s="24" t="s">
        <v>57</v>
      </c>
      <c r="H23" s="98">
        <v>0</v>
      </c>
      <c r="I23" s="12">
        <f t="shared" si="5"/>
        <v>0</v>
      </c>
      <c r="J23" s="12">
        <f t="shared" si="3"/>
        <v>0</v>
      </c>
      <c r="K23" s="22">
        <f t="shared" si="6"/>
        <v>0</v>
      </c>
      <c r="M23" s="41"/>
      <c r="N23" s="30"/>
      <c r="O23" s="30"/>
      <c r="P23" s="30"/>
      <c r="Q23" s="30"/>
      <c r="R23" s="30"/>
      <c r="S23" s="30"/>
      <c r="T23" s="30"/>
      <c r="U23" s="30"/>
      <c r="AJ23" s="49">
        <f t="shared" si="1"/>
        <v>0</v>
      </c>
    </row>
    <row r="24" spans="1:36" ht="16.5" x14ac:dyDescent="0.3">
      <c r="A24" s="63" t="s">
        <v>11</v>
      </c>
      <c r="B24" s="28"/>
      <c r="C24" s="7">
        <v>0</v>
      </c>
      <c r="F24" s="53">
        <v>2</v>
      </c>
      <c r="G24" s="24" t="s">
        <v>58</v>
      </c>
      <c r="H24" s="98">
        <v>1</v>
      </c>
      <c r="I24" s="12">
        <f t="shared" si="5"/>
        <v>0</v>
      </c>
      <c r="J24" s="12">
        <f t="shared" si="3"/>
        <v>0</v>
      </c>
      <c r="K24" s="22">
        <f t="shared" si="6"/>
        <v>0</v>
      </c>
      <c r="M24" s="41"/>
      <c r="N24" s="30"/>
      <c r="O24" s="30"/>
      <c r="P24" s="30"/>
      <c r="Q24" s="30"/>
      <c r="R24" s="30"/>
      <c r="S24" s="30"/>
      <c r="T24" s="30"/>
      <c r="U24" s="30"/>
      <c r="AJ24" s="49">
        <f t="shared" si="1"/>
        <v>2</v>
      </c>
    </row>
    <row r="25" spans="1:36" ht="16.5" x14ac:dyDescent="0.3">
      <c r="A25" s="64" t="s">
        <v>13</v>
      </c>
      <c r="B25" s="28"/>
      <c r="C25" s="7">
        <v>0</v>
      </c>
      <c r="F25" s="54">
        <v>2.5</v>
      </c>
      <c r="G25" s="24" t="s">
        <v>59</v>
      </c>
      <c r="H25" s="98">
        <v>0</v>
      </c>
      <c r="I25" s="12">
        <f t="shared" si="5"/>
        <v>0</v>
      </c>
      <c r="J25" s="12">
        <f t="shared" si="3"/>
        <v>0</v>
      </c>
      <c r="K25" s="22">
        <f t="shared" si="6"/>
        <v>0</v>
      </c>
      <c r="M25" s="41"/>
      <c r="N25" s="30"/>
      <c r="O25" s="30"/>
      <c r="P25" s="30"/>
      <c r="Q25" s="30"/>
      <c r="R25" s="30"/>
      <c r="S25" s="30"/>
      <c r="T25" s="30"/>
      <c r="U25" s="30"/>
      <c r="AJ25" s="49">
        <f t="shared" si="1"/>
        <v>0</v>
      </c>
    </row>
    <row r="26" spans="1:36" ht="16.5" x14ac:dyDescent="0.3">
      <c r="A26" s="65" t="s">
        <v>15</v>
      </c>
      <c r="B26" s="28"/>
      <c r="C26" s="7">
        <v>0</v>
      </c>
      <c r="F26" s="53"/>
      <c r="G26" s="24" t="s">
        <v>60</v>
      </c>
      <c r="H26" s="98">
        <v>0</v>
      </c>
      <c r="I26" s="12">
        <f t="shared" si="5"/>
        <v>0</v>
      </c>
      <c r="J26" s="12">
        <f t="shared" si="3"/>
        <v>0</v>
      </c>
      <c r="K26" s="22">
        <f t="shared" si="6"/>
        <v>0</v>
      </c>
      <c r="M26" s="141"/>
      <c r="N26" s="30"/>
      <c r="O26" s="30"/>
      <c r="P26" s="30"/>
      <c r="Q26" s="30"/>
      <c r="R26" s="30"/>
      <c r="S26" s="30"/>
      <c r="T26" s="30"/>
      <c r="U26" s="30"/>
      <c r="AJ26" s="49">
        <f t="shared" si="1"/>
        <v>0</v>
      </c>
    </row>
    <row r="27" spans="1:36" ht="16.5" x14ac:dyDescent="0.3">
      <c r="A27" s="66" t="s">
        <v>18</v>
      </c>
      <c r="B27" s="28"/>
      <c r="C27" s="7">
        <v>0</v>
      </c>
      <c r="F27" s="53"/>
      <c r="G27" s="24" t="s">
        <v>61</v>
      </c>
      <c r="H27" s="98">
        <v>0</v>
      </c>
      <c r="I27" s="12">
        <f t="shared" si="5"/>
        <v>0</v>
      </c>
      <c r="J27" s="12">
        <f t="shared" si="3"/>
        <v>0</v>
      </c>
      <c r="K27" s="22">
        <f t="shared" si="6"/>
        <v>0</v>
      </c>
      <c r="M27" s="41"/>
      <c r="N27" s="30"/>
      <c r="O27" s="30"/>
      <c r="P27" s="30"/>
      <c r="Q27" s="30"/>
      <c r="R27" s="30"/>
      <c r="S27" s="30"/>
      <c r="T27" s="30"/>
      <c r="U27" s="30"/>
      <c r="AJ27" s="49">
        <f t="shared" si="1"/>
        <v>0</v>
      </c>
    </row>
    <row r="28" spans="1:36" ht="16.5" x14ac:dyDescent="0.3">
      <c r="A28" s="66" t="s">
        <v>20</v>
      </c>
      <c r="B28" s="28"/>
      <c r="C28" s="7">
        <v>0</v>
      </c>
      <c r="F28" s="53"/>
      <c r="G28" s="24" t="s">
        <v>62</v>
      </c>
      <c r="H28" s="98">
        <v>0</v>
      </c>
      <c r="I28" s="12">
        <f t="shared" si="5"/>
        <v>0</v>
      </c>
      <c r="J28" s="12">
        <f t="shared" si="3"/>
        <v>0</v>
      </c>
      <c r="K28" s="22">
        <f t="shared" si="6"/>
        <v>0</v>
      </c>
      <c r="M28" s="41"/>
      <c r="N28" s="30"/>
      <c r="O28" s="30"/>
      <c r="P28" s="30"/>
      <c r="Q28" s="30"/>
      <c r="R28" s="30"/>
      <c r="S28" s="30"/>
      <c r="T28" s="30"/>
      <c r="U28" s="30"/>
      <c r="AJ28" s="49">
        <f t="shared" si="1"/>
        <v>0</v>
      </c>
    </row>
    <row r="29" spans="1:36" ht="16.5" x14ac:dyDescent="0.3">
      <c r="A29" s="66" t="s">
        <v>22</v>
      </c>
      <c r="B29" s="28"/>
      <c r="C29" s="7">
        <v>0</v>
      </c>
      <c r="F29" s="53"/>
      <c r="G29" s="24" t="s">
        <v>63</v>
      </c>
      <c r="H29" s="98">
        <v>0</v>
      </c>
      <c r="I29" s="12">
        <f t="shared" si="5"/>
        <v>0</v>
      </c>
      <c r="J29" s="12">
        <f t="shared" si="3"/>
        <v>0</v>
      </c>
      <c r="K29" s="22">
        <f t="shared" si="6"/>
        <v>0</v>
      </c>
      <c r="M29" s="41"/>
      <c r="N29" s="30"/>
      <c r="O29" s="30"/>
      <c r="P29" s="30"/>
      <c r="Q29" s="30"/>
      <c r="R29" s="30"/>
      <c r="S29" s="30"/>
      <c r="T29" s="30"/>
      <c r="U29" s="30"/>
      <c r="AJ29" s="49">
        <f t="shared" si="1"/>
        <v>0</v>
      </c>
    </row>
    <row r="30" spans="1:36" ht="16.5" x14ac:dyDescent="0.3">
      <c r="A30" s="66" t="s">
        <v>24</v>
      </c>
      <c r="B30" s="28"/>
      <c r="C30" s="7">
        <v>0</v>
      </c>
      <c r="F30" s="53">
        <v>2</v>
      </c>
      <c r="G30" s="24" t="s">
        <v>64</v>
      </c>
      <c r="H30" s="98">
        <v>0</v>
      </c>
      <c r="I30" s="12">
        <f t="shared" si="5"/>
        <v>0</v>
      </c>
      <c r="J30" s="12">
        <f t="shared" si="3"/>
        <v>0</v>
      </c>
      <c r="K30" s="22">
        <f t="shared" si="6"/>
        <v>0</v>
      </c>
      <c r="M30" s="41"/>
      <c r="N30" s="30"/>
      <c r="O30" s="30"/>
      <c r="P30" s="30"/>
      <c r="Q30" s="30"/>
      <c r="R30" s="30"/>
      <c r="S30" s="30"/>
      <c r="T30" s="30"/>
      <c r="U30" s="30"/>
      <c r="AJ30" s="49">
        <f t="shared" si="1"/>
        <v>0</v>
      </c>
    </row>
    <row r="31" spans="1:36" ht="16.5" x14ac:dyDescent="0.3">
      <c r="A31" s="65" t="s">
        <v>26</v>
      </c>
      <c r="B31" s="28"/>
      <c r="C31" s="7">
        <v>0</v>
      </c>
      <c r="D31" s="12">
        <v>5</v>
      </c>
      <c r="F31" s="53">
        <v>2.5</v>
      </c>
      <c r="G31" s="24" t="s">
        <v>65</v>
      </c>
      <c r="H31" s="98">
        <v>0.5</v>
      </c>
      <c r="I31" s="12">
        <f t="shared" si="5"/>
        <v>0</v>
      </c>
      <c r="J31" s="12">
        <f t="shared" si="3"/>
        <v>2.5</v>
      </c>
      <c r="K31" s="22">
        <f t="shared" si="6"/>
        <v>2.5</v>
      </c>
      <c r="M31" s="41"/>
      <c r="N31" s="30"/>
      <c r="O31" s="30"/>
      <c r="P31" s="30"/>
      <c r="Q31" s="30"/>
      <c r="R31" s="30"/>
      <c r="S31" s="30"/>
      <c r="T31" s="30"/>
      <c r="U31" s="30"/>
      <c r="AJ31" s="49">
        <f t="shared" si="1"/>
        <v>1.25</v>
      </c>
    </row>
    <row r="32" spans="1:36" ht="17.25" thickBot="1" x14ac:dyDescent="0.35">
      <c r="A32" s="68" t="s">
        <v>28</v>
      </c>
      <c r="B32" s="32"/>
      <c r="C32" s="33">
        <v>0</v>
      </c>
      <c r="D32" s="34"/>
      <c r="E32" s="34"/>
      <c r="F32" s="55">
        <v>3</v>
      </c>
      <c r="G32" s="35" t="s">
        <v>66</v>
      </c>
      <c r="H32" s="100">
        <v>0</v>
      </c>
      <c r="I32" s="34">
        <f t="shared" si="5"/>
        <v>0</v>
      </c>
      <c r="J32" s="34">
        <f t="shared" si="3"/>
        <v>0</v>
      </c>
      <c r="K32" s="36">
        <f t="shared" si="6"/>
        <v>0</v>
      </c>
      <c r="M32" s="41"/>
      <c r="N32" s="30"/>
      <c r="O32" s="30"/>
      <c r="P32" s="30"/>
      <c r="Q32" s="30"/>
      <c r="R32" s="30"/>
      <c r="S32" s="30"/>
      <c r="T32" s="30"/>
      <c r="U32" s="30"/>
      <c r="AJ32" s="50">
        <f t="shared" si="1"/>
        <v>0</v>
      </c>
    </row>
    <row r="33" spans="1:13" ht="17.25" thickBot="1" x14ac:dyDescent="0.35">
      <c r="A33" s="82" t="s">
        <v>74</v>
      </c>
      <c r="B33" s="83"/>
      <c r="C33" s="83"/>
      <c r="D33" s="83"/>
      <c r="E33" s="79" t="s">
        <v>71</v>
      </c>
      <c r="F33" s="80"/>
      <c r="G33" s="80"/>
      <c r="H33" s="81"/>
    </row>
    <row r="34" spans="1:13" ht="15.75" thickBot="1" x14ac:dyDescent="0.3">
      <c r="A34" s="21" t="s">
        <v>107</v>
      </c>
      <c r="B34" s="12">
        <v>0.5</v>
      </c>
      <c r="C34" s="12" t="s">
        <v>37</v>
      </c>
      <c r="D34" s="109">
        <v>0</v>
      </c>
      <c r="E34" s="45" t="s">
        <v>89</v>
      </c>
      <c r="F34" s="51" t="s">
        <v>92</v>
      </c>
      <c r="G34" s="57" t="s">
        <v>91</v>
      </c>
      <c r="H34" s="112"/>
    </row>
    <row r="35" spans="1:13" ht="17.25" thickBot="1" x14ac:dyDescent="0.35">
      <c r="A35" s="39"/>
      <c r="B35" s="69"/>
      <c r="C35" s="34"/>
      <c r="D35" s="34"/>
      <c r="E35" s="45" t="s">
        <v>67</v>
      </c>
      <c r="F35" s="51">
        <v>1</v>
      </c>
      <c r="G35" s="110"/>
      <c r="H35" s="107">
        <v>1</v>
      </c>
      <c r="M35" s="29"/>
    </row>
    <row r="36" spans="1:13" ht="17.25" thickBot="1" x14ac:dyDescent="0.35">
      <c r="A36" s="84" t="s">
        <v>108</v>
      </c>
      <c r="B36" s="84"/>
      <c r="C36" s="84"/>
      <c r="D36" s="85"/>
      <c r="E36" s="70" t="s">
        <v>68</v>
      </c>
      <c r="F36" s="58">
        <v>0.5</v>
      </c>
      <c r="G36" s="111"/>
      <c r="H36" s="104">
        <v>0</v>
      </c>
      <c r="M36" s="29"/>
    </row>
    <row r="37" spans="1:13" ht="16.5" x14ac:dyDescent="0.3">
      <c r="A37" s="74" t="s">
        <v>109</v>
      </c>
      <c r="B37" s="12">
        <v>1</v>
      </c>
      <c r="E37" s="86" t="s">
        <v>84</v>
      </c>
      <c r="F37" s="87"/>
      <c r="G37" s="87"/>
      <c r="H37" s="87"/>
      <c r="I37" s="59"/>
      <c r="M37" s="29"/>
    </row>
    <row r="38" spans="1:13" ht="17.25" thickBot="1" x14ac:dyDescent="0.35">
      <c r="A38" s="75" t="s">
        <v>110</v>
      </c>
      <c r="B38" s="12">
        <v>1</v>
      </c>
      <c r="E38" s="45" t="s">
        <v>89</v>
      </c>
      <c r="F38" s="51" t="s">
        <v>90</v>
      </c>
      <c r="G38" s="51" t="s">
        <v>91</v>
      </c>
      <c r="H38" s="48" t="s">
        <v>92</v>
      </c>
      <c r="I38" s="115"/>
      <c r="M38" s="29"/>
    </row>
    <row r="39" spans="1:13" ht="16.5" x14ac:dyDescent="0.3">
      <c r="A39" s="75" t="s">
        <v>111</v>
      </c>
      <c r="B39" s="23">
        <v>1</v>
      </c>
      <c r="E39" s="46" t="s">
        <v>85</v>
      </c>
      <c r="F39" s="51"/>
      <c r="G39" s="51"/>
      <c r="H39" s="113">
        <v>2</v>
      </c>
      <c r="I39" s="116">
        <v>0</v>
      </c>
      <c r="M39" s="4"/>
    </row>
    <row r="40" spans="1:13" ht="16.5" x14ac:dyDescent="0.3">
      <c r="A40" s="75" t="s">
        <v>112</v>
      </c>
      <c r="B40" s="23">
        <v>-1</v>
      </c>
      <c r="E40" s="46" t="s">
        <v>96</v>
      </c>
      <c r="F40" s="51"/>
      <c r="G40" s="51"/>
      <c r="H40" s="113">
        <v>4</v>
      </c>
      <c r="I40" s="117">
        <v>0</v>
      </c>
      <c r="M40" s="8"/>
    </row>
    <row r="41" spans="1:13" ht="16.5" x14ac:dyDescent="0.3">
      <c r="A41" s="75" t="s">
        <v>113</v>
      </c>
      <c r="B41" s="23">
        <v>2</v>
      </c>
      <c r="E41" s="46" t="s">
        <v>86</v>
      </c>
      <c r="F41" s="51"/>
      <c r="G41" s="51"/>
      <c r="H41" s="113">
        <v>7</v>
      </c>
      <c r="I41" s="117">
        <v>0</v>
      </c>
      <c r="M41" s="11"/>
    </row>
    <row r="42" spans="1:13" ht="16.5" x14ac:dyDescent="0.3">
      <c r="A42" s="75" t="s">
        <v>114</v>
      </c>
      <c r="B42" s="23">
        <v>-1</v>
      </c>
      <c r="E42" s="46" t="s">
        <v>87</v>
      </c>
      <c r="F42" s="51"/>
      <c r="G42" s="51"/>
      <c r="H42" s="113">
        <v>10</v>
      </c>
      <c r="I42" s="117">
        <v>0</v>
      </c>
      <c r="M42" s="11"/>
    </row>
    <row r="43" spans="1:13" ht="17.25" thickBot="1" x14ac:dyDescent="0.35">
      <c r="A43" s="75" t="s">
        <v>115</v>
      </c>
      <c r="B43" s="23">
        <v>3</v>
      </c>
      <c r="E43" s="47" t="s">
        <v>88</v>
      </c>
      <c r="F43" s="58"/>
      <c r="G43" s="58"/>
      <c r="H43" s="114">
        <v>10</v>
      </c>
      <c r="I43" s="118">
        <v>0</v>
      </c>
      <c r="M43" s="11"/>
    </row>
    <row r="44" spans="1:13" ht="16.5" x14ac:dyDescent="0.3">
      <c r="A44" s="75" t="s">
        <v>116</v>
      </c>
      <c r="B44" s="23">
        <v>1</v>
      </c>
      <c r="H44" s="23"/>
      <c r="M44" s="11"/>
    </row>
    <row r="45" spans="1:13" ht="16.5" x14ac:dyDescent="0.3">
      <c r="A45" s="75" t="s">
        <v>117</v>
      </c>
      <c r="B45" s="23">
        <v>1</v>
      </c>
      <c r="H45" s="23"/>
      <c r="M45" s="8"/>
    </row>
    <row r="46" spans="1:13" ht="16.5" x14ac:dyDescent="0.3">
      <c r="A46" s="75" t="s">
        <v>118</v>
      </c>
      <c r="B46" s="23">
        <v>-0.5</v>
      </c>
      <c r="H46" s="23"/>
      <c r="M46" s="8"/>
    </row>
    <row r="47" spans="1:13" ht="16.5" x14ac:dyDescent="0.3">
      <c r="A47" s="75" t="s">
        <v>119</v>
      </c>
      <c r="B47" s="23">
        <v>1</v>
      </c>
      <c r="H47" s="23"/>
      <c r="M47" s="8"/>
    </row>
    <row r="48" spans="1:13" ht="16.5" x14ac:dyDescent="0.3">
      <c r="A48" s="75" t="s">
        <v>120</v>
      </c>
      <c r="B48" s="23">
        <v>2</v>
      </c>
      <c r="H48" s="23"/>
      <c r="M48" s="4"/>
    </row>
    <row r="49" spans="1:13" ht="16.5" x14ac:dyDescent="0.3">
      <c r="A49" s="75" t="s">
        <v>121</v>
      </c>
      <c r="B49" s="23">
        <v>2</v>
      </c>
      <c r="H49" s="23"/>
      <c r="M49" s="29"/>
    </row>
    <row r="50" spans="1:13" ht="16.5" x14ac:dyDescent="0.3">
      <c r="A50" s="75" t="s">
        <v>122</v>
      </c>
      <c r="B50" s="23">
        <v>1</v>
      </c>
      <c r="H50" s="23"/>
      <c r="M50" s="29"/>
    </row>
    <row r="51" spans="1:13" ht="16.5" x14ac:dyDescent="0.3">
      <c r="A51" s="75" t="s">
        <v>123</v>
      </c>
      <c r="B51" s="23">
        <v>3</v>
      </c>
      <c r="H51" s="23"/>
      <c r="M51" s="4"/>
    </row>
    <row r="52" spans="1:13" ht="16.5" x14ac:dyDescent="0.3">
      <c r="A52" s="75" t="s">
        <v>124</v>
      </c>
      <c r="B52" s="23">
        <v>1</v>
      </c>
      <c r="H52" s="23"/>
    </row>
    <row r="53" spans="1:13" ht="16.5" x14ac:dyDescent="0.3">
      <c r="A53" s="75" t="s">
        <v>85</v>
      </c>
      <c r="B53" s="23">
        <v>1</v>
      </c>
      <c r="H53" s="23"/>
    </row>
    <row r="54" spans="1:13" ht="16.5" x14ac:dyDescent="0.3">
      <c r="A54" s="75" t="s">
        <v>125</v>
      </c>
      <c r="B54" s="23">
        <v>2</v>
      </c>
      <c r="H54" s="23"/>
    </row>
    <row r="55" spans="1:13" ht="16.5" x14ac:dyDescent="0.3">
      <c r="A55" s="75" t="s">
        <v>126</v>
      </c>
      <c r="B55" s="23">
        <v>1</v>
      </c>
      <c r="H55" s="23"/>
    </row>
    <row r="56" spans="1:13" ht="16.5" x14ac:dyDescent="0.3">
      <c r="A56" s="75" t="s">
        <v>127</v>
      </c>
      <c r="B56" s="23">
        <v>1</v>
      </c>
      <c r="H56" s="23"/>
    </row>
    <row r="57" spans="1:13" ht="16.5" x14ac:dyDescent="0.3">
      <c r="A57" s="11" t="s">
        <v>128</v>
      </c>
      <c r="B57" s="23">
        <v>0.5</v>
      </c>
      <c r="H57" s="23"/>
    </row>
    <row r="58" spans="1:13" ht="16.5" x14ac:dyDescent="0.3">
      <c r="A58" s="75" t="s">
        <v>129</v>
      </c>
      <c r="B58" s="23">
        <v>0.5</v>
      </c>
      <c r="H58" s="23"/>
    </row>
    <row r="59" spans="1:13" ht="16.5" x14ac:dyDescent="0.3">
      <c r="A59" s="75" t="s">
        <v>130</v>
      </c>
      <c r="H59" s="23"/>
    </row>
    <row r="60" spans="1:13" ht="16.5" x14ac:dyDescent="0.3">
      <c r="A60" s="75" t="s">
        <v>131</v>
      </c>
      <c r="B60" s="76">
        <v>0.1</v>
      </c>
      <c r="H60" s="23"/>
    </row>
    <row r="61" spans="1:13" ht="17.25" thickBot="1" x14ac:dyDescent="0.35">
      <c r="A61" s="4" t="s">
        <v>132</v>
      </c>
      <c r="B61" s="76">
        <v>-0.01</v>
      </c>
      <c r="H61" s="23"/>
    </row>
    <row r="62" spans="1:13" ht="16.5" x14ac:dyDescent="0.3">
      <c r="A62" s="78" t="s">
        <v>133</v>
      </c>
      <c r="B62" s="77">
        <v>1</v>
      </c>
      <c r="H62" s="23"/>
    </row>
    <row r="63" spans="1:13" ht="16.5" x14ac:dyDescent="0.3">
      <c r="A63" s="4" t="s">
        <v>134</v>
      </c>
      <c r="B63" s="23">
        <v>1</v>
      </c>
      <c r="H63" s="23"/>
    </row>
    <row r="64" spans="1:13" ht="16.5" x14ac:dyDescent="0.3">
      <c r="A64" s="4" t="s">
        <v>135</v>
      </c>
      <c r="B64" s="23">
        <v>1</v>
      </c>
      <c r="H64" s="23"/>
    </row>
    <row r="65" spans="1:8" ht="16.5" x14ac:dyDescent="0.3">
      <c r="A65" s="75" t="s">
        <v>136</v>
      </c>
      <c r="B65" s="23">
        <v>1</v>
      </c>
      <c r="H65" s="23"/>
    </row>
    <row r="66" spans="1:8" ht="16.5" x14ac:dyDescent="0.3">
      <c r="A66" s="11" t="s">
        <v>137</v>
      </c>
      <c r="B66" s="76">
        <v>-0.1</v>
      </c>
      <c r="H66" s="23"/>
    </row>
    <row r="67" spans="1:8" ht="16.5" x14ac:dyDescent="0.3">
      <c r="A67" s="75" t="s">
        <v>138</v>
      </c>
      <c r="B67" s="23">
        <v>2</v>
      </c>
      <c r="H67" s="23"/>
    </row>
    <row r="68" spans="1:8" x14ac:dyDescent="0.25">
      <c r="H68" s="23"/>
    </row>
    <row r="69" spans="1:8" x14ac:dyDescent="0.25">
      <c r="H69" s="23"/>
    </row>
    <row r="70" spans="1:8" x14ac:dyDescent="0.25">
      <c r="H70" s="23"/>
    </row>
    <row r="71" spans="1:8" x14ac:dyDescent="0.25">
      <c r="H71" s="23"/>
    </row>
    <row r="72" spans="1:8" x14ac:dyDescent="0.25">
      <c r="H72" s="23"/>
    </row>
    <row r="73" spans="1:8" x14ac:dyDescent="0.25">
      <c r="H73" s="23"/>
    </row>
    <row r="74" spans="1:8" x14ac:dyDescent="0.25">
      <c r="H74" s="23"/>
    </row>
    <row r="75" spans="1:8" x14ac:dyDescent="0.25">
      <c r="H75" s="23"/>
    </row>
    <row r="76" spans="1:8" x14ac:dyDescent="0.25">
      <c r="H76" s="23"/>
    </row>
    <row r="77" spans="1:8" x14ac:dyDescent="0.25">
      <c r="H77" s="23"/>
    </row>
    <row r="78" spans="1:8" x14ac:dyDescent="0.25">
      <c r="H78" s="23"/>
    </row>
    <row r="79" spans="1:8" x14ac:dyDescent="0.25">
      <c r="H79" s="23"/>
    </row>
    <row r="80" spans="1:8" x14ac:dyDescent="0.25">
      <c r="H80" s="23"/>
    </row>
    <row r="81" spans="8:8" x14ac:dyDescent="0.25">
      <c r="H81" s="23"/>
    </row>
    <row r="82" spans="8:8" x14ac:dyDescent="0.25">
      <c r="H82" s="23"/>
    </row>
    <row r="83" spans="8:8" x14ac:dyDescent="0.25">
      <c r="H83" s="23"/>
    </row>
    <row r="84" spans="8:8" x14ac:dyDescent="0.25">
      <c r="H84" s="23"/>
    </row>
    <row r="85" spans="8:8" x14ac:dyDescent="0.25">
      <c r="H85" s="23"/>
    </row>
    <row r="86" spans="8:8" x14ac:dyDescent="0.25">
      <c r="H86" s="23"/>
    </row>
    <row r="87" spans="8:8" x14ac:dyDescent="0.25">
      <c r="H87" s="23"/>
    </row>
    <row r="88" spans="8:8" x14ac:dyDescent="0.25">
      <c r="H88" s="23"/>
    </row>
    <row r="89" spans="8:8" x14ac:dyDescent="0.25">
      <c r="H89" s="23"/>
    </row>
    <row r="90" spans="8:8" x14ac:dyDescent="0.25">
      <c r="H90" s="23"/>
    </row>
    <row r="91" spans="8:8" x14ac:dyDescent="0.25">
      <c r="H91" s="23"/>
    </row>
    <row r="92" spans="8:8" x14ac:dyDescent="0.25">
      <c r="H92" s="23"/>
    </row>
    <row r="93" spans="8:8" x14ac:dyDescent="0.25">
      <c r="H93" s="23"/>
    </row>
    <row r="94" spans="8:8" x14ac:dyDescent="0.25">
      <c r="H94" s="23"/>
    </row>
    <row r="95" spans="8:8" x14ac:dyDescent="0.25">
      <c r="H95" s="23"/>
    </row>
    <row r="96" spans="8:8" x14ac:dyDescent="0.25">
      <c r="H96" s="23"/>
    </row>
    <row r="97" spans="8:8" x14ac:dyDescent="0.25">
      <c r="H97" s="23"/>
    </row>
    <row r="98" spans="8:8" x14ac:dyDescent="0.25">
      <c r="H98" s="23"/>
    </row>
    <row r="99" spans="8:8" x14ac:dyDescent="0.25">
      <c r="H99" s="23"/>
    </row>
    <row r="100" spans="8:8" x14ac:dyDescent="0.25">
      <c r="H100" s="23"/>
    </row>
    <row r="101" spans="8:8" x14ac:dyDescent="0.25">
      <c r="H101" s="23"/>
    </row>
    <row r="102" spans="8:8" x14ac:dyDescent="0.25">
      <c r="H102" s="23"/>
    </row>
    <row r="103" spans="8:8" x14ac:dyDescent="0.25">
      <c r="H103" s="23"/>
    </row>
    <row r="104" spans="8:8" x14ac:dyDescent="0.25">
      <c r="H104" s="23"/>
    </row>
    <row r="105" spans="8:8" x14ac:dyDescent="0.25">
      <c r="H105" s="23"/>
    </row>
    <row r="106" spans="8:8" x14ac:dyDescent="0.25">
      <c r="H106" s="23"/>
    </row>
    <row r="107" spans="8:8" x14ac:dyDescent="0.25">
      <c r="H107" s="23"/>
    </row>
    <row r="108" spans="8:8" x14ac:dyDescent="0.25">
      <c r="H108" s="23"/>
    </row>
    <row r="109" spans="8:8" x14ac:dyDescent="0.25">
      <c r="H109" s="23"/>
    </row>
    <row r="110" spans="8:8" x14ac:dyDescent="0.25">
      <c r="H110" s="23"/>
    </row>
    <row r="111" spans="8:8" x14ac:dyDescent="0.25">
      <c r="H111" s="23"/>
    </row>
    <row r="112" spans="8:8" x14ac:dyDescent="0.25">
      <c r="H112" s="23"/>
    </row>
    <row r="113" spans="8:8" x14ac:dyDescent="0.25">
      <c r="H113" s="23"/>
    </row>
    <row r="114" spans="8:8" x14ac:dyDescent="0.25">
      <c r="H114" s="23"/>
    </row>
    <row r="115" spans="8:8" x14ac:dyDescent="0.25">
      <c r="H115" s="23"/>
    </row>
    <row r="116" spans="8:8" x14ac:dyDescent="0.25">
      <c r="H116" s="23"/>
    </row>
    <row r="117" spans="8:8" x14ac:dyDescent="0.25">
      <c r="H117" s="23"/>
    </row>
    <row r="118" spans="8:8" x14ac:dyDescent="0.25">
      <c r="H118" s="23"/>
    </row>
    <row r="119" spans="8:8" x14ac:dyDescent="0.25">
      <c r="H119" s="23"/>
    </row>
    <row r="120" spans="8:8" x14ac:dyDescent="0.25">
      <c r="H120" s="23"/>
    </row>
    <row r="121" spans="8:8" x14ac:dyDescent="0.25">
      <c r="H121" s="23"/>
    </row>
    <row r="122" spans="8:8" x14ac:dyDescent="0.25">
      <c r="H122" s="23"/>
    </row>
    <row r="123" spans="8:8" x14ac:dyDescent="0.25">
      <c r="H123" s="23"/>
    </row>
    <row r="124" spans="8:8" x14ac:dyDescent="0.25">
      <c r="H124" s="23"/>
    </row>
    <row r="125" spans="8:8" x14ac:dyDescent="0.25">
      <c r="H125" s="23"/>
    </row>
    <row r="126" spans="8:8" x14ac:dyDescent="0.25">
      <c r="H126" s="23"/>
    </row>
    <row r="127" spans="8:8" x14ac:dyDescent="0.25">
      <c r="H127" s="23"/>
    </row>
    <row r="128" spans="8:8" x14ac:dyDescent="0.25">
      <c r="H128" s="23"/>
    </row>
    <row r="129" spans="8:8" x14ac:dyDescent="0.25">
      <c r="H129" s="23"/>
    </row>
    <row r="130" spans="8:8" x14ac:dyDescent="0.25">
      <c r="H130" s="23"/>
    </row>
    <row r="131" spans="8:8" x14ac:dyDescent="0.25">
      <c r="H131" s="23"/>
    </row>
    <row r="132" spans="8:8" x14ac:dyDescent="0.25">
      <c r="H132" s="23"/>
    </row>
    <row r="133" spans="8:8" x14ac:dyDescent="0.25">
      <c r="H133" s="23"/>
    </row>
    <row r="134" spans="8:8" x14ac:dyDescent="0.25">
      <c r="H134" s="23"/>
    </row>
    <row r="135" spans="8:8" x14ac:dyDescent="0.25">
      <c r="H135" s="23"/>
    </row>
    <row r="136" spans="8:8" x14ac:dyDescent="0.25">
      <c r="H136" s="23"/>
    </row>
    <row r="137" spans="8:8" x14ac:dyDescent="0.25">
      <c r="H137" s="23"/>
    </row>
    <row r="138" spans="8:8" x14ac:dyDescent="0.25">
      <c r="H138" s="23"/>
    </row>
    <row r="139" spans="8:8" x14ac:dyDescent="0.25">
      <c r="H139" s="23"/>
    </row>
    <row r="140" spans="8:8" x14ac:dyDescent="0.25">
      <c r="H140" s="23"/>
    </row>
    <row r="141" spans="8:8" x14ac:dyDescent="0.25">
      <c r="H141" s="23"/>
    </row>
    <row r="142" spans="8:8" x14ac:dyDescent="0.25">
      <c r="H142" s="23"/>
    </row>
    <row r="143" spans="8:8" x14ac:dyDescent="0.25">
      <c r="H143" s="23"/>
    </row>
    <row r="144" spans="8:8" x14ac:dyDescent="0.25">
      <c r="H144" s="23"/>
    </row>
    <row r="145" spans="8:8" x14ac:dyDescent="0.25">
      <c r="H145" s="23"/>
    </row>
    <row r="146" spans="8:8" x14ac:dyDescent="0.25">
      <c r="H146" s="23"/>
    </row>
    <row r="147" spans="8:8" x14ac:dyDescent="0.25">
      <c r="H147" s="23"/>
    </row>
    <row r="148" spans="8:8" x14ac:dyDescent="0.25">
      <c r="H148" s="23"/>
    </row>
    <row r="149" spans="8:8" x14ac:dyDescent="0.25">
      <c r="H149" s="23"/>
    </row>
    <row r="150" spans="8:8" x14ac:dyDescent="0.25">
      <c r="H150" s="23"/>
    </row>
    <row r="151" spans="8:8" x14ac:dyDescent="0.25">
      <c r="H151" s="23"/>
    </row>
    <row r="152" spans="8:8" x14ac:dyDescent="0.25">
      <c r="H152" s="23"/>
    </row>
    <row r="153" spans="8:8" x14ac:dyDescent="0.25">
      <c r="H153" s="23"/>
    </row>
    <row r="154" spans="8:8" x14ac:dyDescent="0.25">
      <c r="H154" s="23"/>
    </row>
    <row r="155" spans="8:8" x14ac:dyDescent="0.25">
      <c r="H155" s="23"/>
    </row>
    <row r="156" spans="8:8" x14ac:dyDescent="0.25">
      <c r="H156" s="23"/>
    </row>
    <row r="157" spans="8:8" x14ac:dyDescent="0.25">
      <c r="H157" s="23"/>
    </row>
    <row r="158" spans="8:8" x14ac:dyDescent="0.25">
      <c r="H158" s="23"/>
    </row>
    <row r="159" spans="8:8" x14ac:dyDescent="0.25">
      <c r="H159" s="23"/>
    </row>
    <row r="160" spans="8:8" x14ac:dyDescent="0.25">
      <c r="H160" s="23"/>
    </row>
    <row r="161" spans="8:8" x14ac:dyDescent="0.25">
      <c r="H161" s="23"/>
    </row>
    <row r="162" spans="8:8" x14ac:dyDescent="0.25">
      <c r="H162" s="23"/>
    </row>
    <row r="163" spans="8:8" x14ac:dyDescent="0.25">
      <c r="H163" s="23"/>
    </row>
    <row r="164" spans="8:8" x14ac:dyDescent="0.25">
      <c r="H164" s="23"/>
    </row>
    <row r="165" spans="8:8" x14ac:dyDescent="0.25">
      <c r="H165" s="23"/>
    </row>
    <row r="166" spans="8:8" x14ac:dyDescent="0.25">
      <c r="H166" s="23"/>
    </row>
    <row r="167" spans="8:8" x14ac:dyDescent="0.25">
      <c r="H167" s="23"/>
    </row>
    <row r="168" spans="8:8" x14ac:dyDescent="0.25">
      <c r="H168" s="23"/>
    </row>
    <row r="169" spans="8:8" x14ac:dyDescent="0.25">
      <c r="H169" s="23"/>
    </row>
    <row r="170" spans="8:8" x14ac:dyDescent="0.25">
      <c r="H170" s="23"/>
    </row>
    <row r="171" spans="8:8" x14ac:dyDescent="0.25">
      <c r="H171" s="23"/>
    </row>
    <row r="172" spans="8:8" x14ac:dyDescent="0.25">
      <c r="H172" s="23"/>
    </row>
    <row r="173" spans="8:8" x14ac:dyDescent="0.25">
      <c r="H173" s="23"/>
    </row>
    <row r="174" spans="8:8" x14ac:dyDescent="0.25">
      <c r="H174" s="23"/>
    </row>
    <row r="175" spans="8:8" x14ac:dyDescent="0.25">
      <c r="H175" s="23"/>
    </row>
    <row r="176" spans="8:8" x14ac:dyDescent="0.25">
      <c r="H176" s="23"/>
    </row>
    <row r="177" spans="8:8" x14ac:dyDescent="0.25">
      <c r="H177" s="23"/>
    </row>
    <row r="178" spans="8:8" x14ac:dyDescent="0.25">
      <c r="H178" s="23"/>
    </row>
    <row r="179" spans="8:8" x14ac:dyDescent="0.25">
      <c r="H179" s="23"/>
    </row>
    <row r="180" spans="8:8" x14ac:dyDescent="0.25">
      <c r="H180" s="23"/>
    </row>
    <row r="181" spans="8:8" x14ac:dyDescent="0.25">
      <c r="H181" s="23"/>
    </row>
    <row r="182" spans="8:8" x14ac:dyDescent="0.25">
      <c r="H182" s="23"/>
    </row>
    <row r="183" spans="8:8" x14ac:dyDescent="0.25">
      <c r="H183" s="23"/>
    </row>
    <row r="184" spans="8:8" x14ac:dyDescent="0.25">
      <c r="H184" s="23"/>
    </row>
    <row r="185" spans="8:8" x14ac:dyDescent="0.25">
      <c r="H185" s="23"/>
    </row>
    <row r="186" spans="8:8" x14ac:dyDescent="0.25">
      <c r="H186" s="23"/>
    </row>
    <row r="187" spans="8:8" x14ac:dyDescent="0.25">
      <c r="H187" s="23"/>
    </row>
    <row r="188" spans="8:8" x14ac:dyDescent="0.25">
      <c r="H188" s="23"/>
    </row>
    <row r="189" spans="8:8" x14ac:dyDescent="0.25">
      <c r="H189" s="23"/>
    </row>
    <row r="190" spans="8:8" x14ac:dyDescent="0.25">
      <c r="H190" s="23"/>
    </row>
    <row r="191" spans="8:8" x14ac:dyDescent="0.25">
      <c r="H191" s="23"/>
    </row>
    <row r="192" spans="8:8" x14ac:dyDescent="0.25">
      <c r="H192" s="23"/>
    </row>
    <row r="193" spans="8:8" x14ac:dyDescent="0.25">
      <c r="H193" s="23"/>
    </row>
    <row r="194" spans="8:8" x14ac:dyDescent="0.25">
      <c r="H194" s="23"/>
    </row>
    <row r="195" spans="8:8" x14ac:dyDescent="0.25">
      <c r="H195" s="23"/>
    </row>
    <row r="196" spans="8:8" x14ac:dyDescent="0.25">
      <c r="H196" s="23"/>
    </row>
    <row r="197" spans="8:8" x14ac:dyDescent="0.25">
      <c r="H197" s="23"/>
    </row>
    <row r="198" spans="8:8" x14ac:dyDescent="0.25">
      <c r="H198" s="23"/>
    </row>
    <row r="199" spans="8:8" x14ac:dyDescent="0.25">
      <c r="H199" s="23"/>
    </row>
    <row r="200" spans="8:8" x14ac:dyDescent="0.25">
      <c r="H200" s="23"/>
    </row>
    <row r="201" spans="8:8" x14ac:dyDescent="0.25">
      <c r="H201" s="23"/>
    </row>
    <row r="202" spans="8:8" x14ac:dyDescent="0.25">
      <c r="H202" s="23"/>
    </row>
    <row r="203" spans="8:8" x14ac:dyDescent="0.25">
      <c r="H203" s="23"/>
    </row>
    <row r="204" spans="8:8" x14ac:dyDescent="0.25">
      <c r="H204" s="23"/>
    </row>
    <row r="205" spans="8:8" x14ac:dyDescent="0.25">
      <c r="H205" s="23"/>
    </row>
    <row r="206" spans="8:8" x14ac:dyDescent="0.25">
      <c r="H206" s="23"/>
    </row>
    <row r="207" spans="8:8" x14ac:dyDescent="0.25">
      <c r="H207" s="23"/>
    </row>
    <row r="208" spans="8:8" x14ac:dyDescent="0.25">
      <c r="H208" s="23"/>
    </row>
    <row r="209" spans="8:8" x14ac:dyDescent="0.25">
      <c r="H209" s="23"/>
    </row>
    <row r="210" spans="8:8" x14ac:dyDescent="0.25">
      <c r="H210" s="23"/>
    </row>
    <row r="211" spans="8:8" x14ac:dyDescent="0.25">
      <c r="H211" s="23"/>
    </row>
    <row r="212" spans="8:8" x14ac:dyDescent="0.25">
      <c r="H212" s="23"/>
    </row>
    <row r="213" spans="8:8" x14ac:dyDescent="0.25">
      <c r="H213" s="23"/>
    </row>
    <row r="214" spans="8:8" x14ac:dyDescent="0.25">
      <c r="H214" s="23"/>
    </row>
    <row r="215" spans="8:8" x14ac:dyDescent="0.25">
      <c r="H215" s="23"/>
    </row>
    <row r="216" spans="8:8" x14ac:dyDescent="0.25">
      <c r="H216" s="23"/>
    </row>
    <row r="217" spans="8:8" x14ac:dyDescent="0.25">
      <c r="H217" s="23"/>
    </row>
    <row r="218" spans="8:8" x14ac:dyDescent="0.25">
      <c r="H218" s="23"/>
    </row>
    <row r="219" spans="8:8" x14ac:dyDescent="0.25">
      <c r="H219" s="23"/>
    </row>
    <row r="220" spans="8:8" x14ac:dyDescent="0.25">
      <c r="H220" s="23"/>
    </row>
    <row r="221" spans="8:8" x14ac:dyDescent="0.25">
      <c r="H221" s="23"/>
    </row>
    <row r="222" spans="8:8" x14ac:dyDescent="0.25">
      <c r="H222" s="23"/>
    </row>
    <row r="223" spans="8:8" x14ac:dyDescent="0.25">
      <c r="H223" s="23"/>
    </row>
    <row r="224" spans="8:8" x14ac:dyDescent="0.25">
      <c r="H224" s="23"/>
    </row>
    <row r="225" spans="8:8" x14ac:dyDescent="0.25">
      <c r="H225" s="23"/>
    </row>
    <row r="226" spans="8:8" x14ac:dyDescent="0.25">
      <c r="H226" s="23"/>
    </row>
    <row r="227" spans="8:8" x14ac:dyDescent="0.25">
      <c r="H227" s="23"/>
    </row>
    <row r="228" spans="8:8" x14ac:dyDescent="0.25">
      <c r="H228" s="23"/>
    </row>
    <row r="229" spans="8:8" x14ac:dyDescent="0.25">
      <c r="H229" s="23"/>
    </row>
    <row r="230" spans="8:8" x14ac:dyDescent="0.25">
      <c r="H230" s="23"/>
    </row>
    <row r="231" spans="8:8" x14ac:dyDescent="0.25">
      <c r="H231" s="23"/>
    </row>
    <row r="232" spans="8:8" x14ac:dyDescent="0.25">
      <c r="H232" s="23"/>
    </row>
    <row r="233" spans="8:8" x14ac:dyDescent="0.25">
      <c r="H233" s="23"/>
    </row>
    <row r="234" spans="8:8" x14ac:dyDescent="0.25">
      <c r="H234" s="23"/>
    </row>
    <row r="235" spans="8:8" x14ac:dyDescent="0.25">
      <c r="H235" s="23"/>
    </row>
    <row r="236" spans="8:8" x14ac:dyDescent="0.25">
      <c r="H236" s="23"/>
    </row>
    <row r="237" spans="8:8" x14ac:dyDescent="0.25">
      <c r="H237" s="23"/>
    </row>
    <row r="238" spans="8:8" x14ac:dyDescent="0.25">
      <c r="H238" s="23"/>
    </row>
    <row r="239" spans="8:8" x14ac:dyDescent="0.25">
      <c r="H239" s="23"/>
    </row>
    <row r="240" spans="8:8" x14ac:dyDescent="0.25">
      <c r="H240" s="23"/>
    </row>
    <row r="241" spans="8:8" x14ac:dyDescent="0.25">
      <c r="H241" s="23"/>
    </row>
    <row r="242" spans="8:8" x14ac:dyDescent="0.25">
      <c r="H242" s="23"/>
    </row>
    <row r="243" spans="8:8" x14ac:dyDescent="0.25">
      <c r="H243" s="23"/>
    </row>
    <row r="244" spans="8:8" x14ac:dyDescent="0.25">
      <c r="H244" s="23"/>
    </row>
    <row r="245" spans="8:8" x14ac:dyDescent="0.25">
      <c r="H245" s="23"/>
    </row>
    <row r="246" spans="8:8" x14ac:dyDescent="0.25">
      <c r="H246" s="23"/>
    </row>
    <row r="247" spans="8:8" x14ac:dyDescent="0.25">
      <c r="H247" s="23"/>
    </row>
    <row r="248" spans="8:8" x14ac:dyDescent="0.25">
      <c r="H248" s="23"/>
    </row>
    <row r="249" spans="8:8" x14ac:dyDescent="0.25">
      <c r="H249" s="23"/>
    </row>
    <row r="250" spans="8:8" x14ac:dyDescent="0.25">
      <c r="H250" s="23"/>
    </row>
    <row r="251" spans="8:8" x14ac:dyDescent="0.25">
      <c r="H251" s="23"/>
    </row>
    <row r="252" spans="8:8" x14ac:dyDescent="0.25">
      <c r="H252" s="23"/>
    </row>
    <row r="253" spans="8:8" x14ac:dyDescent="0.25">
      <c r="H253" s="23"/>
    </row>
    <row r="254" spans="8:8" x14ac:dyDescent="0.25">
      <c r="H254" s="23"/>
    </row>
    <row r="255" spans="8:8" x14ac:dyDescent="0.25">
      <c r="H255" s="23"/>
    </row>
    <row r="256" spans="8:8" x14ac:dyDescent="0.25">
      <c r="H256" s="23"/>
    </row>
    <row r="257" spans="8:8" x14ac:dyDescent="0.25">
      <c r="H257" s="23"/>
    </row>
    <row r="258" spans="8:8" x14ac:dyDescent="0.25">
      <c r="H258" s="23"/>
    </row>
    <row r="259" spans="8:8" x14ac:dyDescent="0.25">
      <c r="H259" s="23"/>
    </row>
    <row r="260" spans="8:8" x14ac:dyDescent="0.25">
      <c r="H260" s="23"/>
    </row>
    <row r="261" spans="8:8" x14ac:dyDescent="0.25">
      <c r="H261" s="23"/>
    </row>
    <row r="262" spans="8:8" x14ac:dyDescent="0.25">
      <c r="H262" s="23"/>
    </row>
    <row r="263" spans="8:8" x14ac:dyDescent="0.25">
      <c r="H263" s="23"/>
    </row>
    <row r="264" spans="8:8" x14ac:dyDescent="0.25">
      <c r="H264" s="23"/>
    </row>
    <row r="265" spans="8:8" x14ac:dyDescent="0.25">
      <c r="H265" s="23"/>
    </row>
    <row r="266" spans="8:8" x14ac:dyDescent="0.25">
      <c r="H266" s="23"/>
    </row>
    <row r="267" spans="8:8" x14ac:dyDescent="0.25">
      <c r="H267" s="23"/>
    </row>
    <row r="268" spans="8:8" x14ac:dyDescent="0.25">
      <c r="H268" s="23"/>
    </row>
    <row r="269" spans="8:8" x14ac:dyDescent="0.25">
      <c r="H269" s="23"/>
    </row>
    <row r="270" spans="8:8" x14ac:dyDescent="0.25">
      <c r="H270" s="23"/>
    </row>
    <row r="271" spans="8:8" x14ac:dyDescent="0.25">
      <c r="H271" s="23"/>
    </row>
    <row r="272" spans="8:8" x14ac:dyDescent="0.25">
      <c r="H272" s="23"/>
    </row>
    <row r="273" spans="8:8" x14ac:dyDescent="0.25">
      <c r="H273" s="23"/>
    </row>
    <row r="274" spans="8:8" x14ac:dyDescent="0.25">
      <c r="H274" s="23"/>
    </row>
    <row r="275" spans="8:8" x14ac:dyDescent="0.25">
      <c r="H275" s="23"/>
    </row>
    <row r="276" spans="8:8" x14ac:dyDescent="0.25">
      <c r="H276" s="23"/>
    </row>
    <row r="277" spans="8:8" x14ac:dyDescent="0.25">
      <c r="H277" s="23"/>
    </row>
    <row r="278" spans="8:8" x14ac:dyDescent="0.25">
      <c r="H278" s="23"/>
    </row>
    <row r="279" spans="8:8" x14ac:dyDescent="0.25">
      <c r="H279" s="23"/>
    </row>
    <row r="280" spans="8:8" x14ac:dyDescent="0.25">
      <c r="H280" s="23"/>
    </row>
    <row r="281" spans="8:8" x14ac:dyDescent="0.25">
      <c r="H281" s="23"/>
    </row>
    <row r="282" spans="8:8" x14ac:dyDescent="0.25">
      <c r="H282" s="23"/>
    </row>
    <row r="283" spans="8:8" x14ac:dyDescent="0.25">
      <c r="H283" s="23"/>
    </row>
    <row r="284" spans="8:8" x14ac:dyDescent="0.25">
      <c r="H284" s="23"/>
    </row>
    <row r="285" spans="8:8" x14ac:dyDescent="0.25">
      <c r="H285" s="23"/>
    </row>
    <row r="286" spans="8:8" x14ac:dyDescent="0.25">
      <c r="H286" s="23"/>
    </row>
    <row r="287" spans="8:8" x14ac:dyDescent="0.25">
      <c r="H287" s="23"/>
    </row>
    <row r="288" spans="8:8" x14ac:dyDescent="0.25">
      <c r="H288" s="23"/>
    </row>
    <row r="289" spans="8:8" x14ac:dyDescent="0.25">
      <c r="H289" s="23"/>
    </row>
    <row r="290" spans="8:8" x14ac:dyDescent="0.25">
      <c r="H290" s="23"/>
    </row>
    <row r="291" spans="8:8" x14ac:dyDescent="0.25">
      <c r="H291" s="23"/>
    </row>
    <row r="292" spans="8:8" x14ac:dyDescent="0.25">
      <c r="H292" s="23"/>
    </row>
    <row r="293" spans="8:8" x14ac:dyDescent="0.25">
      <c r="H293" s="23"/>
    </row>
    <row r="294" spans="8:8" x14ac:dyDescent="0.25">
      <c r="H294" s="23"/>
    </row>
    <row r="295" spans="8:8" x14ac:dyDescent="0.25">
      <c r="H295" s="23"/>
    </row>
    <row r="296" spans="8:8" x14ac:dyDescent="0.25">
      <c r="H296" s="23"/>
    </row>
    <row r="297" spans="8:8" x14ac:dyDescent="0.25">
      <c r="H297" s="23"/>
    </row>
    <row r="298" spans="8:8" x14ac:dyDescent="0.25">
      <c r="H298" s="23"/>
    </row>
    <row r="299" spans="8:8" x14ac:dyDescent="0.25">
      <c r="H299" s="23"/>
    </row>
    <row r="300" spans="8:8" x14ac:dyDescent="0.25">
      <c r="H300" s="23"/>
    </row>
    <row r="301" spans="8:8" x14ac:dyDescent="0.25">
      <c r="H301" s="23"/>
    </row>
    <row r="302" spans="8:8" x14ac:dyDescent="0.25">
      <c r="H302" s="23"/>
    </row>
    <row r="303" spans="8:8" x14ac:dyDescent="0.25">
      <c r="H303" s="23"/>
    </row>
    <row r="304" spans="8:8" x14ac:dyDescent="0.25">
      <c r="H304" s="23"/>
    </row>
    <row r="305" spans="8:8" x14ac:dyDescent="0.25">
      <c r="H305" s="23"/>
    </row>
    <row r="306" spans="8:8" x14ac:dyDescent="0.25">
      <c r="H306" s="23"/>
    </row>
    <row r="307" spans="8:8" x14ac:dyDescent="0.25">
      <c r="H307" s="23"/>
    </row>
    <row r="308" spans="8:8" x14ac:dyDescent="0.25">
      <c r="H308" s="23"/>
    </row>
    <row r="309" spans="8:8" x14ac:dyDescent="0.25">
      <c r="H309" s="23"/>
    </row>
    <row r="310" spans="8:8" x14ac:dyDescent="0.25">
      <c r="H310" s="23"/>
    </row>
    <row r="311" spans="8:8" x14ac:dyDescent="0.25">
      <c r="H311" s="23"/>
    </row>
    <row r="312" spans="8:8" x14ac:dyDescent="0.25">
      <c r="H312" s="23"/>
    </row>
    <row r="313" spans="8:8" x14ac:dyDescent="0.25">
      <c r="H313" s="23"/>
    </row>
    <row r="314" spans="8:8" x14ac:dyDescent="0.25">
      <c r="H314" s="23"/>
    </row>
    <row r="315" spans="8:8" x14ac:dyDescent="0.25">
      <c r="H315" s="23"/>
    </row>
    <row r="316" spans="8:8" x14ac:dyDescent="0.25">
      <c r="H316" s="23"/>
    </row>
    <row r="317" spans="8:8" x14ac:dyDescent="0.25">
      <c r="H317" s="23"/>
    </row>
    <row r="318" spans="8:8" x14ac:dyDescent="0.25">
      <c r="H318" s="23"/>
    </row>
    <row r="319" spans="8:8" x14ac:dyDescent="0.25">
      <c r="H319" s="23"/>
    </row>
    <row r="320" spans="8:8" x14ac:dyDescent="0.25">
      <c r="H320" s="23"/>
    </row>
    <row r="321" spans="8:8" x14ac:dyDescent="0.25">
      <c r="H321" s="23"/>
    </row>
    <row r="322" spans="8:8" x14ac:dyDescent="0.25">
      <c r="H322" s="23"/>
    </row>
    <row r="323" spans="8:8" x14ac:dyDescent="0.25">
      <c r="H323" s="23"/>
    </row>
    <row r="324" spans="8:8" x14ac:dyDescent="0.25">
      <c r="H324" s="23"/>
    </row>
    <row r="325" spans="8:8" x14ac:dyDescent="0.25">
      <c r="H325" s="23"/>
    </row>
    <row r="326" spans="8:8" x14ac:dyDescent="0.25">
      <c r="H326" s="23"/>
    </row>
    <row r="327" spans="8:8" x14ac:dyDescent="0.25">
      <c r="H327" s="23"/>
    </row>
    <row r="328" spans="8:8" x14ac:dyDescent="0.25">
      <c r="H328" s="23"/>
    </row>
    <row r="329" spans="8:8" x14ac:dyDescent="0.25">
      <c r="H329" s="23"/>
    </row>
    <row r="330" spans="8:8" x14ac:dyDescent="0.25">
      <c r="H330" s="23"/>
    </row>
    <row r="331" spans="8:8" x14ac:dyDescent="0.25">
      <c r="H331" s="23"/>
    </row>
    <row r="332" spans="8:8" x14ac:dyDescent="0.25">
      <c r="H332" s="23"/>
    </row>
    <row r="333" spans="8:8" x14ac:dyDescent="0.25">
      <c r="H333" s="23"/>
    </row>
    <row r="334" spans="8:8" x14ac:dyDescent="0.25">
      <c r="H334" s="23"/>
    </row>
    <row r="335" spans="8:8" x14ac:dyDescent="0.25">
      <c r="H335" s="23"/>
    </row>
    <row r="336" spans="8:8" x14ac:dyDescent="0.25">
      <c r="H336" s="23"/>
    </row>
    <row r="337" spans="8:8" x14ac:dyDescent="0.25">
      <c r="H337" s="23"/>
    </row>
    <row r="338" spans="8:8" x14ac:dyDescent="0.25">
      <c r="H338" s="23"/>
    </row>
    <row r="339" spans="8:8" x14ac:dyDescent="0.25">
      <c r="H339" s="23"/>
    </row>
    <row r="340" spans="8:8" x14ac:dyDescent="0.25">
      <c r="H340" s="23"/>
    </row>
    <row r="341" spans="8:8" x14ac:dyDescent="0.25">
      <c r="H341" s="23"/>
    </row>
    <row r="342" spans="8:8" x14ac:dyDescent="0.25">
      <c r="H342" s="23"/>
    </row>
    <row r="343" spans="8:8" x14ac:dyDescent="0.25">
      <c r="H343" s="23"/>
    </row>
    <row r="344" spans="8:8" x14ac:dyDescent="0.25">
      <c r="H344" s="23"/>
    </row>
    <row r="345" spans="8:8" x14ac:dyDescent="0.25">
      <c r="H345" s="23"/>
    </row>
    <row r="346" spans="8:8" x14ac:dyDescent="0.25">
      <c r="H346" s="23"/>
    </row>
    <row r="347" spans="8:8" x14ac:dyDescent="0.25">
      <c r="H347" s="23"/>
    </row>
    <row r="348" spans="8:8" x14ac:dyDescent="0.25">
      <c r="H348" s="23"/>
    </row>
    <row r="349" spans="8:8" x14ac:dyDescent="0.25">
      <c r="H349" s="23"/>
    </row>
    <row r="350" spans="8:8" x14ac:dyDescent="0.25">
      <c r="H350" s="23"/>
    </row>
    <row r="351" spans="8:8" x14ac:dyDescent="0.25">
      <c r="H351" s="23"/>
    </row>
    <row r="352" spans="8:8" x14ac:dyDescent="0.25">
      <c r="H352" s="23"/>
    </row>
    <row r="353" spans="8:8" x14ac:dyDescent="0.25">
      <c r="H353" s="23"/>
    </row>
    <row r="354" spans="8:8" x14ac:dyDescent="0.25">
      <c r="H354" s="23"/>
    </row>
    <row r="355" spans="8:8" x14ac:dyDescent="0.25">
      <c r="H355" s="23"/>
    </row>
    <row r="356" spans="8:8" x14ac:dyDescent="0.25">
      <c r="H356" s="23"/>
    </row>
    <row r="357" spans="8:8" x14ac:dyDescent="0.25">
      <c r="H357" s="23"/>
    </row>
    <row r="358" spans="8:8" x14ac:dyDescent="0.25">
      <c r="H358" s="23"/>
    </row>
    <row r="359" spans="8:8" x14ac:dyDescent="0.25">
      <c r="H359" s="23"/>
    </row>
    <row r="360" spans="8:8" x14ac:dyDescent="0.25">
      <c r="H360" s="23"/>
    </row>
    <row r="361" spans="8:8" x14ac:dyDescent="0.25">
      <c r="H361" s="23"/>
    </row>
    <row r="362" spans="8:8" x14ac:dyDescent="0.25">
      <c r="H362" s="23"/>
    </row>
    <row r="363" spans="8:8" x14ac:dyDescent="0.25">
      <c r="H363" s="23"/>
    </row>
    <row r="364" spans="8:8" x14ac:dyDescent="0.25">
      <c r="H364" s="23"/>
    </row>
    <row r="365" spans="8:8" x14ac:dyDescent="0.25">
      <c r="H365" s="23"/>
    </row>
    <row r="366" spans="8:8" x14ac:dyDescent="0.25">
      <c r="H366" s="23"/>
    </row>
    <row r="367" spans="8:8" x14ac:dyDescent="0.25">
      <c r="H367" s="23"/>
    </row>
    <row r="368" spans="8:8" x14ac:dyDescent="0.25">
      <c r="H368" s="23"/>
    </row>
    <row r="369" spans="8:8" x14ac:dyDescent="0.25">
      <c r="H369" s="23"/>
    </row>
    <row r="370" spans="8:8" x14ac:dyDescent="0.25">
      <c r="H370" s="23"/>
    </row>
    <row r="371" spans="8:8" x14ac:dyDescent="0.25">
      <c r="H371" s="23"/>
    </row>
    <row r="372" spans="8:8" x14ac:dyDescent="0.25">
      <c r="H372" s="23"/>
    </row>
    <row r="373" spans="8:8" x14ac:dyDescent="0.25">
      <c r="H373" s="23"/>
    </row>
    <row r="374" spans="8:8" x14ac:dyDescent="0.25">
      <c r="H374" s="23"/>
    </row>
    <row r="375" spans="8:8" x14ac:dyDescent="0.25">
      <c r="H375" s="23"/>
    </row>
    <row r="376" spans="8:8" x14ac:dyDescent="0.25">
      <c r="H376" s="23"/>
    </row>
    <row r="377" spans="8:8" x14ac:dyDescent="0.25">
      <c r="H377" s="23"/>
    </row>
    <row r="378" spans="8:8" x14ac:dyDescent="0.25">
      <c r="H378" s="23"/>
    </row>
    <row r="379" spans="8:8" x14ac:dyDescent="0.25">
      <c r="H379" s="23"/>
    </row>
    <row r="380" spans="8:8" x14ac:dyDescent="0.25">
      <c r="H380" s="23"/>
    </row>
    <row r="381" spans="8:8" x14ac:dyDescent="0.25">
      <c r="H381" s="23"/>
    </row>
    <row r="382" spans="8:8" x14ac:dyDescent="0.25">
      <c r="H382" s="23"/>
    </row>
    <row r="383" spans="8:8" x14ac:dyDescent="0.25">
      <c r="H383" s="23"/>
    </row>
    <row r="384" spans="8:8" x14ac:dyDescent="0.25">
      <c r="H384" s="23"/>
    </row>
    <row r="385" spans="8:8" x14ac:dyDescent="0.25">
      <c r="H385" s="23"/>
    </row>
    <row r="386" spans="8:8" x14ac:dyDescent="0.25">
      <c r="H386" s="23"/>
    </row>
    <row r="387" spans="8:8" x14ac:dyDescent="0.25">
      <c r="H387" s="23"/>
    </row>
    <row r="388" spans="8:8" x14ac:dyDescent="0.25">
      <c r="H388" s="23"/>
    </row>
    <row r="389" spans="8:8" x14ac:dyDescent="0.25">
      <c r="H389" s="23"/>
    </row>
    <row r="390" spans="8:8" x14ac:dyDescent="0.25">
      <c r="H390" s="23"/>
    </row>
    <row r="391" spans="8:8" x14ac:dyDescent="0.25">
      <c r="H391" s="23"/>
    </row>
    <row r="392" spans="8:8" x14ac:dyDescent="0.25">
      <c r="H392" s="23"/>
    </row>
    <row r="393" spans="8:8" x14ac:dyDescent="0.25">
      <c r="H393" s="23"/>
    </row>
    <row r="394" spans="8:8" x14ac:dyDescent="0.25">
      <c r="H394" s="23"/>
    </row>
    <row r="395" spans="8:8" x14ac:dyDescent="0.25">
      <c r="H395" s="23"/>
    </row>
    <row r="396" spans="8:8" x14ac:dyDescent="0.25">
      <c r="H396" s="23"/>
    </row>
    <row r="397" spans="8:8" x14ac:dyDescent="0.25">
      <c r="H397" s="23"/>
    </row>
    <row r="398" spans="8:8" x14ac:dyDescent="0.25">
      <c r="H398" s="23"/>
    </row>
    <row r="399" spans="8:8" x14ac:dyDescent="0.25">
      <c r="H399" s="23"/>
    </row>
    <row r="400" spans="8:8" x14ac:dyDescent="0.25">
      <c r="H400" s="23"/>
    </row>
    <row r="401" spans="8:8" x14ac:dyDescent="0.25">
      <c r="H401" s="23"/>
    </row>
    <row r="402" spans="8:8" x14ac:dyDescent="0.25">
      <c r="H402" s="23"/>
    </row>
    <row r="403" spans="8:8" x14ac:dyDescent="0.25">
      <c r="H403" s="23"/>
    </row>
    <row r="404" spans="8:8" x14ac:dyDescent="0.25">
      <c r="H404" s="23"/>
    </row>
    <row r="405" spans="8:8" x14ac:dyDescent="0.25">
      <c r="H405" s="23"/>
    </row>
    <row r="406" spans="8:8" x14ac:dyDescent="0.25">
      <c r="H406" s="23"/>
    </row>
  </sheetData>
  <mergeCells count="19">
    <mergeCell ref="N1:V1"/>
    <mergeCell ref="N20:V20"/>
    <mergeCell ref="W20:AE20"/>
    <mergeCell ref="E33:H33"/>
    <mergeCell ref="A33:D33"/>
    <mergeCell ref="A36:D36"/>
    <mergeCell ref="E37:H37"/>
    <mergeCell ref="AJ1:BA1"/>
    <mergeCell ref="C1:G1"/>
    <mergeCell ref="L15:M15"/>
    <mergeCell ref="AQ2:AR2"/>
    <mergeCell ref="W1:AE1"/>
    <mergeCell ref="AK2:AL2"/>
    <mergeCell ref="L20:M20"/>
    <mergeCell ref="L21:M22"/>
    <mergeCell ref="L1:M1"/>
    <mergeCell ref="L2:M2"/>
    <mergeCell ref="L3:M3"/>
    <mergeCell ref="L4:M4"/>
  </mergeCells>
  <conditionalFormatting sqref="AJ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ИНСТРУКЦИЯ</vt:lpstr>
      <vt:lpstr>Считалка БО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Tema</dc:creator>
  <cp:lastModifiedBy>Tema</cp:lastModifiedBy>
  <dcterms:created xsi:type="dcterms:W3CDTF">2020-12-25T22:38:35Z</dcterms:created>
  <dcterms:modified xsi:type="dcterms:W3CDTF">2020-12-26T06:44:52Z</dcterms:modified>
</cp:coreProperties>
</file>